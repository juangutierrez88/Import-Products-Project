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anangelgutierrezdelgado/Desktop/Import-Products-Project/"/>
    </mc:Choice>
  </mc:AlternateContent>
  <xr:revisionPtr revIDLastSave="0" documentId="13_ncr:1_{60FF33D2-9BE0-F045-BD16-3D76ED955053}" xr6:coauthVersionLast="47" xr6:coauthVersionMax="47" xr10:uidLastSave="{00000000-0000-0000-0000-000000000000}"/>
  <bookViews>
    <workbookView xWindow="200" yWindow="700" windowWidth="28400" windowHeight="15820" activeTab="2" xr2:uid="{C3FB0118-9650-444D-BDFB-5D6C3245D798}"/>
  </bookViews>
  <sheets>
    <sheet name="importaciones" sheetId="1" r:id="rId1"/>
    <sheet name="Packing_List" sheetId="2" r:id="rId2"/>
    <sheet name="Auditoria_Facturac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" i="3" l="1"/>
  <c r="C3" i="3"/>
  <c r="D3" i="3" s="1"/>
  <c r="E3" i="3" s="1"/>
  <c r="C4" i="3"/>
  <c r="D4" i="3" s="1"/>
  <c r="E4" i="3" s="1"/>
  <c r="D2" i="3"/>
  <c r="E2" i="3" s="1"/>
</calcChain>
</file>

<file path=xl/sharedStrings.xml><?xml version="1.0" encoding="utf-8"?>
<sst xmlns="http://schemas.openxmlformats.org/spreadsheetml/2006/main" count="36" uniqueCount="27">
  <si>
    <t>Proveedor</t>
  </si>
  <si>
    <t>Valor Bruto (USD)</t>
  </si>
  <si>
    <t>Estatus</t>
  </si>
  <si>
    <t>Fecha de Embarque</t>
  </si>
  <si>
    <t>No. Factura</t>
  </si>
  <si>
    <t>INV-9901</t>
  </si>
  <si>
    <t>Plastic Brick Co.</t>
  </si>
  <si>
    <t>Recibido</t>
  </si>
  <si>
    <t>INV-9902</t>
  </si>
  <si>
    <t>Moldes Pro</t>
  </si>
  <si>
    <t>Aduana</t>
  </si>
  <si>
    <t>INV-9903</t>
  </si>
  <si>
    <t>Color Master</t>
  </si>
  <si>
    <t>En Tránsito</t>
  </si>
  <si>
    <t>INV-9904</t>
  </si>
  <si>
    <t>Global Logistics</t>
  </si>
  <si>
    <t>INV-9905</t>
  </si>
  <si>
    <t>INV-9906</t>
  </si>
  <si>
    <t>Global Plastics</t>
  </si>
  <si>
    <t>SKU</t>
  </si>
  <si>
    <t>Cantidad Recibida</t>
  </si>
  <si>
    <t>LEGO-101</t>
  </si>
  <si>
    <t>LEGO-202</t>
  </si>
  <si>
    <t>LEGO-303</t>
  </si>
  <si>
    <t>Cantidad Pedida</t>
  </si>
  <si>
    <t>Discrepancia</t>
  </si>
  <si>
    <t>Estatus_revisión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</si>
</sst>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44" fontId="1" fillId="0" borderId="1" xfId="0" applyNumberFormat="1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1" fillId="0" borderId="3" xfId="0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2" fillId="0" borderId="5" xfId="0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14" fontId="1" fillId="0" borderId="7" xfId="0" applyNumberFormat="1" applyFont="1" applyBorder="1" applyAlignment="1">
      <alignment horizontal="left" vertical="center" wrapText="1" indent="1" readingOrder="1"/>
    </xf>
    <xf numFmtId="0" fontId="1" fillId="0" borderId="8" xfId="0" applyFont="1" applyBorder="1" applyAlignment="1">
      <alignment horizontal="left" vertical="center" wrapText="1" indent="1" readingOrder="1"/>
    </xf>
    <xf numFmtId="44" fontId="1" fillId="0" borderId="8" xfId="0" applyNumberFormat="1" applyFont="1" applyBorder="1" applyAlignment="1">
      <alignment horizontal="left" vertical="center" wrapText="1" indent="1" readingOrder="1"/>
    </xf>
    <xf numFmtId="0" fontId="1" fillId="0" borderId="9" xfId="0" applyFont="1" applyBorder="1" applyAlignment="1">
      <alignment horizontal="left" vertical="center" wrapText="1" indent="1" readingOrder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/>
        <i val="0"/>
      </font>
      <fill>
        <patternFill>
          <bgColor rgb="FFF8FF8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34" formatCode="_-&quot;$&quot;* #,##0.00_-;\-&quot;$&quot;* #,##0.00_-;_-&quot;$&quot;* &quot;-&quot;??_-;_-@_-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  <i val="0"/>
        <color theme="1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8FF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E171A0-DF41-A54A-A1D0-9D15B1A3AE61}" name="Tbl_Importaciones" displayName="Tbl_Importaciones" ref="A1:E7" totalsRowShown="0" headerRowDxfId="12" headerRowBorderDxfId="19" tableBorderDxfId="20" totalsRowBorderDxfId="18">
  <autoFilter ref="A1:E7" xr:uid="{6EE171A0-DF41-A54A-A1D0-9D15B1A3AE61}"/>
  <tableColumns count="5">
    <tableColumn id="1" xr3:uid="{F0CDF9A3-1AC1-2B4F-81C1-4103C7A1DD5B}" name="Fecha de Embarque" dataDxfId="17"/>
    <tableColumn id="2" xr3:uid="{FC5E2B8E-0B19-D547-A227-EC512059D09B}" name="No. Factura" dataDxfId="16"/>
    <tableColumn id="3" xr3:uid="{E2D4DE80-A0BA-3A40-BBD3-DD5ED73FFB32}" name="Proveedor" dataDxfId="15"/>
    <tableColumn id="4" xr3:uid="{D0A3B041-D1AA-5745-AC2B-9C2613E3EA39}" name="Valor Bruto (USD)" dataDxfId="14"/>
    <tableColumn id="5" xr3:uid="{D556AC27-8912-5D49-9091-8CF93C04228D}" name="Estatus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F20E1B-F2C8-8845-975C-438AB5EFB744}" name="Tbl_PackingList" displayName="Tbl_PackingList" ref="A1:B4" totalsRowShown="0" headerRowDxfId="8" dataDxfId="9">
  <autoFilter ref="A1:B4" xr:uid="{04F20E1B-F2C8-8845-975C-438AB5EFB744}"/>
  <tableColumns count="2">
    <tableColumn id="1" xr3:uid="{AA331FD4-8F1B-C24E-AF87-6829BF64A06C}" name="SKU" dataDxfId="11"/>
    <tableColumn id="2" xr3:uid="{B3837851-3680-5041-B827-58C99253B9DF}" name="Cantidad Recibida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1F52BF-F009-1B49-89F3-AC3D2A6F6177}" name="Tbl_Auditoria" displayName="Tbl_Auditoria" ref="A1:E4" totalsRowShown="0" headerRowDxfId="4" dataDxfId="5">
  <autoFilter ref="A1:E4" xr:uid="{511F52BF-F009-1B49-89F3-AC3D2A6F6177}"/>
  <tableColumns count="5">
    <tableColumn id="1" xr3:uid="{F0AE4D43-06A4-204D-B207-33B36A4B2992}" name="SKU" dataDxfId="7"/>
    <tableColumn id="2" xr3:uid="{C3B26C5F-27E8-5947-B874-29AF99360E9D}" name="Cantidad Pedida" dataDxfId="6"/>
    <tableColumn id="3" xr3:uid="{FB28B945-E6AC-4044-9E71-68C2CBD397FC}" name="Cantidad Recibida" dataDxfId="0">
      <calculatedColumnFormula>_xlfn.XLOOKUP(A2,Tbl_PackingList[SKU],Tbl_PackingList[Cantidad Recibida], "No encontrado")</calculatedColumnFormula>
    </tableColumn>
    <tableColumn id="4" xr3:uid="{CB40F751-D1EE-B14F-9FDD-49A6FCD59CB5}" name="Discrepancia" dataDxfId="3">
      <calculatedColumnFormula>Tbl_Auditoria[[#This Row],[Cantidad Recibida]]-Tbl_Auditoria[[#This Row],[Cantidad Pedida]]</calculatedColumnFormula>
    </tableColumn>
    <tableColumn id="5" xr3:uid="{F989A651-7B8D-4247-9DDA-8258160EE0C3}" name="Estatus_revisión" dataDxfId="1">
      <calculatedColumnFormula>IF(Tbl_Auditoria[[#This Row],[Discrepancia]]=0,"OK","REVISAR CON PROVEEDOR")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22DB2-93EA-4EE5-ADC5-C4C573A8C7FF}">
  <dimension ref="A1:E7"/>
  <sheetViews>
    <sheetView zoomScale="120" zoomScaleNormal="120" workbookViewId="0">
      <selection activeCell="F7" sqref="F7"/>
    </sheetView>
  </sheetViews>
  <sheetFormatPr baseColWidth="10" defaultRowHeight="15" x14ac:dyDescent="0.2"/>
  <cols>
    <col min="1" max="1" width="21.1640625" customWidth="1"/>
    <col min="2" max="2" width="15.5" customWidth="1"/>
    <col min="3" max="3" width="17.6640625" customWidth="1"/>
    <col min="4" max="4" width="22.5" customWidth="1"/>
    <col min="5" max="5" width="16.33203125" customWidth="1"/>
  </cols>
  <sheetData>
    <row r="1" spans="1:5" ht="15" customHeight="1" thickBot="1" x14ac:dyDescent="0.25">
      <c r="A1" s="6" t="s">
        <v>3</v>
      </c>
      <c r="B1" s="7" t="s">
        <v>4</v>
      </c>
      <c r="C1" s="7" t="s">
        <v>0</v>
      </c>
      <c r="D1" s="7" t="s">
        <v>1</v>
      </c>
      <c r="E1" s="8" t="s">
        <v>2</v>
      </c>
    </row>
    <row r="2" spans="1:5" ht="15" customHeight="1" thickBot="1" x14ac:dyDescent="0.25">
      <c r="A2" s="3">
        <v>46061</v>
      </c>
      <c r="B2" s="1" t="s">
        <v>5</v>
      </c>
      <c r="C2" s="1" t="s">
        <v>6</v>
      </c>
      <c r="D2" s="2">
        <v>12500</v>
      </c>
      <c r="E2" s="5" t="s">
        <v>7</v>
      </c>
    </row>
    <row r="3" spans="1:5" ht="16" thickBot="1" x14ac:dyDescent="0.25">
      <c r="A3" s="3">
        <v>46054</v>
      </c>
      <c r="B3" s="1" t="s">
        <v>8</v>
      </c>
      <c r="C3" s="1" t="s">
        <v>9</v>
      </c>
      <c r="D3" s="2">
        <v>8400</v>
      </c>
      <c r="E3" s="4" t="s">
        <v>10</v>
      </c>
    </row>
    <row r="4" spans="1:5" ht="15" customHeight="1" thickBot="1" x14ac:dyDescent="0.25">
      <c r="A4" s="3">
        <v>46062</v>
      </c>
      <c r="B4" s="1" t="s">
        <v>11</v>
      </c>
      <c r="C4" s="1" t="s">
        <v>12</v>
      </c>
      <c r="D4" s="2">
        <v>15200</v>
      </c>
      <c r="E4" s="5" t="s">
        <v>13</v>
      </c>
    </row>
    <row r="5" spans="1:5" ht="15" customHeight="1" thickBot="1" x14ac:dyDescent="0.25">
      <c r="A5" s="3">
        <v>46055</v>
      </c>
      <c r="B5" s="1" t="s">
        <v>14</v>
      </c>
      <c r="C5" s="1" t="s">
        <v>15</v>
      </c>
      <c r="D5" s="2">
        <v>5100</v>
      </c>
      <c r="E5" s="5" t="s">
        <v>13</v>
      </c>
    </row>
    <row r="6" spans="1:5" ht="15" customHeight="1" thickBot="1" x14ac:dyDescent="0.25">
      <c r="A6" s="3">
        <v>46063</v>
      </c>
      <c r="B6" s="1" t="s">
        <v>17</v>
      </c>
      <c r="C6" s="1" t="s">
        <v>18</v>
      </c>
      <c r="D6" s="2">
        <v>6700</v>
      </c>
      <c r="E6" s="5" t="s">
        <v>13</v>
      </c>
    </row>
    <row r="7" spans="1:5" ht="15" customHeight="1" x14ac:dyDescent="0.2">
      <c r="A7" s="9">
        <v>46063</v>
      </c>
      <c r="B7" s="10" t="s">
        <v>16</v>
      </c>
      <c r="C7" s="10" t="s">
        <v>6</v>
      </c>
      <c r="D7" s="11">
        <v>22000</v>
      </c>
      <c r="E7" s="12" t="s">
        <v>10</v>
      </c>
    </row>
  </sheetData>
  <conditionalFormatting sqref="A2:E7">
    <cfRule type="expression" dxfId="21" priority="2">
      <formula>AND($E2="Aduana",TODAY() - $A2 &gt;3)</formula>
    </cfRule>
  </conditionalFormatting>
  <conditionalFormatting sqref="D2:D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{80DF6881-677C-A144-9049-2FC8811D5819}</x14:id>
        </ext>
      </extLst>
    </cfRule>
  </conditionalFormatting>
  <dataValidations count="2">
    <dataValidation type="list" allowBlank="1" showInputMessage="1" showErrorMessage="1" sqref="E2:E7" xr:uid="{D7985C12-8BB4-4D86-9854-3285A71C2DF5}">
      <formula1>"En Tránsito,Aduana,Recibido"</formula1>
    </dataValidation>
    <dataValidation type="textLength" operator="equal" allowBlank="1" showInputMessage="1" showErrorMessage="1" errorTitle="Error de formato" error="El número de factura debe tener 8 caracteres. Verifica con el documento original de importación." sqref="B2:B7" xr:uid="{EDBD21EE-C123-D245-8AB0-2AA429007C47}">
      <formula1>8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DF6881-677C-A144-9049-2FC8811D58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E49DD-AAA4-834B-8C38-AA91C0AED3D9}">
  <dimension ref="A1:B4"/>
  <sheetViews>
    <sheetView workbookViewId="0">
      <selection activeCell="E12" sqref="E12"/>
    </sheetView>
  </sheetViews>
  <sheetFormatPr baseColWidth="10" defaultRowHeight="15" x14ac:dyDescent="0.2"/>
  <cols>
    <col min="2" max="2" width="19.6640625" customWidth="1"/>
  </cols>
  <sheetData>
    <row r="1" spans="1:2" x14ac:dyDescent="0.2">
      <c r="A1" s="13" t="s">
        <v>19</v>
      </c>
      <c r="B1" s="13" t="s">
        <v>20</v>
      </c>
    </row>
    <row r="2" spans="1:2" x14ac:dyDescent="0.2">
      <c r="A2" s="14" t="s">
        <v>21</v>
      </c>
      <c r="B2" s="14">
        <v>500</v>
      </c>
    </row>
    <row r="3" spans="1:2" x14ac:dyDescent="0.2">
      <c r="A3" s="14" t="s">
        <v>22</v>
      </c>
      <c r="B3" s="14">
        <v>300</v>
      </c>
    </row>
    <row r="4" spans="1:2" x14ac:dyDescent="0.2">
      <c r="A4" s="14" t="s">
        <v>23</v>
      </c>
      <c r="B4" s="14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BE62-822E-174F-908A-307DEDE1A935}">
  <dimension ref="A1:E4"/>
  <sheetViews>
    <sheetView tabSelected="1" workbookViewId="0">
      <selection activeCell="C3" sqref="C3"/>
    </sheetView>
  </sheetViews>
  <sheetFormatPr baseColWidth="10" defaultRowHeight="15" x14ac:dyDescent="0.2"/>
  <cols>
    <col min="2" max="2" width="18" customWidth="1"/>
    <col min="3" max="3" width="19.6640625" customWidth="1"/>
    <col min="4" max="4" width="14.83203125" customWidth="1"/>
    <col min="5" max="5" width="26.1640625" customWidth="1"/>
  </cols>
  <sheetData>
    <row r="1" spans="1:5" x14ac:dyDescent="0.2">
      <c r="A1" s="13" t="s">
        <v>19</v>
      </c>
      <c r="B1" s="13" t="s">
        <v>24</v>
      </c>
      <c r="C1" s="13" t="s">
        <v>20</v>
      </c>
      <c r="D1" s="13" t="s">
        <v>25</v>
      </c>
      <c r="E1" s="13" t="s">
        <v>26</v>
      </c>
    </row>
    <row r="2" spans="1:5" x14ac:dyDescent="0.2">
      <c r="A2" s="14" t="s">
        <v>21</v>
      </c>
      <c r="B2" s="14">
        <v>500</v>
      </c>
      <c r="C2" s="14">
        <f>_xlfn.XLOOKUP(A2,Tbl_PackingList[SKU],Tbl_PackingList[Cantidad Recibida], "No encontrado")</f>
        <v>500</v>
      </c>
      <c r="D2" s="14">
        <f>Tbl_Auditoria[[#This Row],[Cantidad Recibida]]-Tbl_Auditoria[[#This Row],[Cantidad Pedida]]</f>
        <v>0</v>
      </c>
      <c r="E2" s="14" t="str">
        <f>IF(Tbl_Auditoria[[#This Row],[Discrepancia]]=0,"OK","REVISAR CON PROVEEDOR")</f>
        <v>OK</v>
      </c>
    </row>
    <row r="3" spans="1:5" x14ac:dyDescent="0.2">
      <c r="A3" s="14" t="s">
        <v>22</v>
      </c>
      <c r="B3" s="14">
        <v>350</v>
      </c>
      <c r="C3" s="14">
        <f>_xlfn.XLOOKUP(A3,Tbl_PackingList[SKU],Tbl_PackingList[Cantidad Recibida], "No encontrado")</f>
        <v>300</v>
      </c>
      <c r="D3" s="14">
        <f>Tbl_Auditoria[[#This Row],[Cantidad Recibida]]-Tbl_Auditoria[[#This Row],[Cantidad Pedida]]</f>
        <v>-50</v>
      </c>
      <c r="E3" s="14" t="str">
        <f>IF(Tbl_Auditoria[[#This Row],[Discrepancia]]=0,"OK","REVISAR CON PROVEEDOR")</f>
        <v>REVISAR CON PROVEEDOR</v>
      </c>
    </row>
    <row r="4" spans="1:5" x14ac:dyDescent="0.2">
      <c r="A4" s="14" t="s">
        <v>23</v>
      </c>
      <c r="B4" s="14">
        <v>150</v>
      </c>
      <c r="C4" s="14">
        <f>_xlfn.XLOOKUP(A4,Tbl_PackingList[SKU],Tbl_PackingList[Cantidad Recibida], "No encontrado")</f>
        <v>150</v>
      </c>
      <c r="D4" s="14">
        <f>Tbl_Auditoria[[#This Row],[Cantidad Recibida]]-Tbl_Auditoria[[#This Row],[Cantidad Pedida]]</f>
        <v>0</v>
      </c>
      <c r="E4" s="14" t="str">
        <f>IF(Tbl_Auditoria[[#This Row],[Discrepancia]]=0,"OK","REVISAR CON PROVEEDOR")</f>
        <v>OK</v>
      </c>
    </row>
  </sheetData>
  <conditionalFormatting sqref="D2:D4">
    <cfRule type="cellIs" dxfId="2" priority="1" operator="equal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importaciones</vt:lpstr>
      <vt:lpstr>Packing_List</vt:lpstr>
      <vt:lpstr>Auditoria_Facturacion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Angel Gutiérrez Delgado</dc:creator>
  <cp:lastModifiedBy>Juan Ángel  Gutiérrez Delgado</cp:lastModifiedBy>
  <dcterms:created xsi:type="dcterms:W3CDTF">2026-02-11T00:21:39Z</dcterms:created>
  <dcterms:modified xsi:type="dcterms:W3CDTF">2026-02-12T17:25:39Z</dcterms:modified>
</cp:coreProperties>
</file>