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angelgutierrezdelgado/Desktop/Import-Products-Project/"/>
    </mc:Choice>
  </mc:AlternateContent>
  <xr:revisionPtr revIDLastSave="0" documentId="13_ncr:1_{429ED679-5947-814C-986B-4F9CC6A6B627}" xr6:coauthVersionLast="47" xr6:coauthVersionMax="47" xr10:uidLastSave="{00000000-0000-0000-0000-000000000000}"/>
  <bookViews>
    <workbookView xWindow="200" yWindow="700" windowWidth="28400" windowHeight="15820" xr2:uid="{C3FB0118-9650-444D-BDFB-5D6C3245D798}"/>
  </bookViews>
  <sheets>
    <sheet name="importaciones" sheetId="1" r:id="rId1"/>
    <sheet name="Packing_List" sheetId="2" r:id="rId2"/>
    <sheet name="Auditoria_Facturacion" sheetId="3" r:id="rId3"/>
    <sheet name="Dashboard" sheetId="4" r:id="rId4"/>
    <sheet name="Costos_flete" sheetId="6" r:id="rId5"/>
  </sheets>
  <definedNames>
    <definedName name="SegmentaciónDeDatos_Proveedor">#N/A</definedName>
  </definedNames>
  <calcPr calcId="191029"/>
  <pivotCaches>
    <pivotCache cacheId="16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I2" i="1"/>
  <c r="I3" i="1"/>
  <c r="I4" i="1"/>
  <c r="I5" i="1"/>
  <c r="I6" i="1"/>
  <c r="J6" i="1" s="1"/>
  <c r="I7" i="1"/>
  <c r="J7" i="1" s="1"/>
  <c r="C2" i="3"/>
  <c r="C3" i="3"/>
  <c r="D3" i="3" s="1"/>
  <c r="E3" i="3" s="1"/>
  <c r="C4" i="3"/>
  <c r="D4" i="3" s="1"/>
  <c r="E4" i="3" s="1"/>
  <c r="D2" i="3"/>
  <c r="E2" i="3" s="1"/>
</calcChain>
</file>

<file path=xl/sharedStrings.xml><?xml version="1.0" encoding="utf-8"?>
<sst xmlns="http://schemas.openxmlformats.org/spreadsheetml/2006/main" count="68" uniqueCount="46">
  <si>
    <t>Proveedor</t>
  </si>
  <si>
    <t>Valor Bruto (USD)</t>
  </si>
  <si>
    <t>Estatus</t>
  </si>
  <si>
    <t>Fecha de Embarque</t>
  </si>
  <si>
    <t>No. Factura</t>
  </si>
  <si>
    <t>INV-9901</t>
  </si>
  <si>
    <t>Plastic Brick Co.</t>
  </si>
  <si>
    <t>Recibido</t>
  </si>
  <si>
    <t>INV-9902</t>
  </si>
  <si>
    <t>Moldes Pro</t>
  </si>
  <si>
    <t>Aduana</t>
  </si>
  <si>
    <t>INV-9903</t>
  </si>
  <si>
    <t>Color Master</t>
  </si>
  <si>
    <t>En Tránsito</t>
  </si>
  <si>
    <t>INV-9904</t>
  </si>
  <si>
    <t>Global Logistics</t>
  </si>
  <si>
    <t>INV-9905</t>
  </si>
  <si>
    <t>INV-9906</t>
  </si>
  <si>
    <t>Global Plastics</t>
  </si>
  <si>
    <t>SKU</t>
  </si>
  <si>
    <t>Cantidad Recibida</t>
  </si>
  <si>
    <t>LEGO-101</t>
  </si>
  <si>
    <t>LEGO-202</t>
  </si>
  <si>
    <t>LEGO-303</t>
  </si>
  <si>
    <t>Cantidad Pedida</t>
  </si>
  <si>
    <t>Discrepancia</t>
  </si>
  <si>
    <t>Estatus_revisión</t>
  </si>
  <si>
    <t>Agente aduanal</t>
  </si>
  <si>
    <t>Fecha de arribo</t>
  </si>
  <si>
    <t>Fecha de liberación</t>
  </si>
  <si>
    <t>Días de despacho</t>
  </si>
  <si>
    <t>Agente A</t>
  </si>
  <si>
    <t>Agente B</t>
  </si>
  <si>
    <t>Agente C</t>
  </si>
  <si>
    <t>Etiquetas de fila</t>
  </si>
  <si>
    <t>Total general</t>
  </si>
  <si>
    <t>Promedio de Días de despacho</t>
  </si>
  <si>
    <t>Gastos de demora (USD)</t>
  </si>
  <si>
    <t>Suma de Gastos de demora (USD)</t>
  </si>
  <si>
    <t>Costo Flete (USD)</t>
  </si>
  <si>
    <t>FACT-001</t>
  </si>
  <si>
    <t>FACT-002</t>
  </si>
  <si>
    <t>FACT-003</t>
  </si>
  <si>
    <t>FACT-004</t>
  </si>
  <si>
    <t>FACT-005</t>
  </si>
  <si>
    <t>FACT-006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</si>
</sst>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8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44" fontId="1" fillId="0" borderId="1" xfId="0" applyNumberFormat="1" applyFont="1" applyBorder="1" applyAlignment="1">
      <alignment horizontal="left" vertical="center" wrapText="1" indent="1" readingOrder="1"/>
    </xf>
    <xf numFmtId="14" fontId="1" fillId="0" borderId="2" xfId="0" applyNumberFormat="1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14" fontId="1" fillId="0" borderId="7" xfId="0" applyNumberFormat="1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44" fontId="1" fillId="0" borderId="8" xfId="0" applyNumberFormat="1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  <xf numFmtId="44" fontId="1" fillId="0" borderId="0" xfId="0" applyNumberFormat="1" applyFont="1"/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34" formatCode="_-&quot;$&quot;* #,##0.00_-;\-&quot;$&quot;* #,##0.00_-;_-&quot;$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numFmt numFmtId="168" formatCode="&quot;$&quot;#,##0.0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/>
        <i val="0"/>
      </font>
      <fill>
        <patternFill>
          <bgColor rgb="FFF8FF8C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34" formatCode="_-&quot;$&quot;* #,##0.00_-;\-&quot;$&quot;* #,##0.00_-;_-&quot;$&quot;* &quot;-&quot;??_-;_-@_-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d/mm/yy"/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colors>
    <mruColors>
      <color rgb="FFF8FF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[data_products.xlsx]Dashboard!TablaDinámica1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Promedio de Días de despacho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Dashboard!$A$4:$A$7</c:f>
              <c:strCache>
                <c:ptCount val="3"/>
                <c:pt idx="0">
                  <c:v>Agente A</c:v>
                </c:pt>
                <c:pt idx="1">
                  <c:v>Agente C</c:v>
                </c:pt>
                <c:pt idx="2">
                  <c:v>Agente B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3"/>
                <c:pt idx="0">
                  <c:v>1.5</c:v>
                </c:pt>
                <c:pt idx="1">
                  <c:v>5</c:v>
                </c:pt>
                <c:pt idx="2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8-CF48-8B6F-A06E3E6B2445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Suma de Gastos de demora (USD)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Dashboard!$A$4:$A$7</c:f>
              <c:strCache>
                <c:ptCount val="3"/>
                <c:pt idx="0">
                  <c:v>Agente A</c:v>
                </c:pt>
                <c:pt idx="1">
                  <c:v>Agente C</c:v>
                </c:pt>
                <c:pt idx="2">
                  <c:v>Agente B</c:v>
                </c:pt>
              </c:strCache>
            </c:strRef>
          </c:cat>
          <c:val>
            <c:numRef>
              <c:f>Dashboard!$C$4:$C$7</c:f>
              <c:numCache>
                <c:formatCode>General</c:formatCode>
                <c:ptCount val="3"/>
                <c:pt idx="0">
                  <c:v>0</c:v>
                </c:pt>
                <c:pt idx="1">
                  <c:v>100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38-CF48-8B6F-A06E3E6B2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39353359"/>
        <c:axId val="338970543"/>
      </c:barChart>
      <c:catAx>
        <c:axId val="33935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8970543"/>
        <c:crosses val="autoZero"/>
        <c:auto val="1"/>
        <c:lblAlgn val="ctr"/>
        <c:lblOffset val="100"/>
        <c:noMultiLvlLbl val="0"/>
      </c:catAx>
      <c:valAx>
        <c:axId val="33897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935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[data_products.xlsx]Dashboard!TablaDinámica2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Dashboard!$B$21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Dashboard!$A$22:$A$25</c:f>
              <c:strCache>
                <c:ptCount val="3"/>
                <c:pt idx="0">
                  <c:v>Agente B</c:v>
                </c:pt>
                <c:pt idx="1">
                  <c:v>Agente C</c:v>
                </c:pt>
                <c:pt idx="2">
                  <c:v>Agente A</c:v>
                </c:pt>
              </c:strCache>
            </c:strRef>
          </c:cat>
          <c:val>
            <c:numRef>
              <c:f>Dashboard!$B$22:$B$25</c:f>
              <c:numCache>
                <c:formatCode>General</c:formatCode>
                <c:ptCount val="3"/>
                <c:pt idx="0">
                  <c:v>150</c:v>
                </c:pt>
                <c:pt idx="1">
                  <c:v>100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B-B54B-95EC-77E206793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9</xdr:col>
      <xdr:colOff>444500</xdr:colOff>
      <xdr:row>16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7756869-C300-6B63-6834-B78C7DA66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9769</xdr:colOff>
      <xdr:row>18</xdr:row>
      <xdr:rowOff>177521</xdr:rowOff>
    </xdr:from>
    <xdr:to>
      <xdr:col>9</xdr:col>
      <xdr:colOff>464736</xdr:colOff>
      <xdr:row>32</xdr:row>
      <xdr:rowOff>185336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6C002D4-20CA-4734-2D7B-F4464C949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662772</xdr:colOff>
      <xdr:row>9</xdr:row>
      <xdr:rowOff>26795</xdr:rowOff>
    </xdr:from>
    <xdr:to>
      <xdr:col>13</xdr:col>
      <xdr:colOff>21352</xdr:colOff>
      <xdr:row>21</xdr:row>
      <xdr:rowOff>111049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Proveedor">
              <a:extLst>
                <a:ext uri="{FF2B5EF4-FFF2-40B4-BE49-F238E27FC236}">
                  <a16:creationId xmlns:a16="http://schemas.microsoft.com/office/drawing/2014/main" id="{2CAF705C-FD1C-2501-F1B3-214BDEDBEC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e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27607" y="1785257"/>
              <a:ext cx="1828800" cy="24288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65.576349537034" createdVersion="8" refreshedVersion="8" minRefreshableVersion="3" recordCount="6" xr:uid="{A89D5110-2157-E242-96AA-F1E83E5CBBFC}">
  <cacheSource type="worksheet">
    <worksheetSource name="Tbl_Importaciones"/>
  </cacheSource>
  <cacheFields count="10">
    <cacheField name="Fecha de Embarque" numFmtId="14">
      <sharedItems containsSemiMixedTypes="0" containsNonDate="0" containsDate="1" containsString="0" minDate="2026-02-01T00:00:00" maxDate="2026-02-11T00:00:00"/>
    </cacheField>
    <cacheField name="No. Factura" numFmtId="0">
      <sharedItems/>
    </cacheField>
    <cacheField name="Proveedor" numFmtId="0">
      <sharedItems count="5">
        <s v="Plastic Brick Co."/>
        <s v="Moldes Pro"/>
        <s v="Color Master"/>
        <s v="Global Logistics"/>
        <s v="Global Plastics"/>
      </sharedItems>
    </cacheField>
    <cacheField name="Valor Bruto (USD)" numFmtId="44">
      <sharedItems containsSemiMixedTypes="0" containsString="0" containsNumber="1" containsInteger="1" minValue="5100" maxValue="22000"/>
    </cacheField>
    <cacheField name="Estatus" numFmtId="0">
      <sharedItems/>
    </cacheField>
    <cacheField name="Agente aduanal" numFmtId="0">
      <sharedItems count="3">
        <s v="Agente A"/>
        <s v="Agente B"/>
        <s v="Agente C"/>
      </sharedItems>
    </cacheField>
    <cacheField name="Fecha de arribo" numFmtId="14">
      <sharedItems containsSemiMixedTypes="0" containsNonDate="0" containsDate="1" containsString="0" minDate="2026-02-05T00:00:00" maxDate="2026-02-13T00:00:00"/>
    </cacheField>
    <cacheField name="Fecha de liberación" numFmtId="14">
      <sharedItems containsSemiMixedTypes="0" containsNonDate="0" containsDate="1" containsString="0" minDate="2026-02-10T00:00:00" maxDate="2026-02-17T00:00:00"/>
    </cacheField>
    <cacheField name="Días de despacho" numFmtId="0">
      <sharedItems containsSemiMixedTypes="0" containsString="0" containsNumber="1" containsInteger="1" minValue="1" maxValue="6"/>
    </cacheField>
    <cacheField name="Gastos de demora (USD)" numFmtId="168">
      <sharedItems containsSemiMixedTypes="0" containsString="0" containsNumber="1" containsInteger="1" minValue="0" maxValue="100"/>
    </cacheField>
  </cacheFields>
  <extLst>
    <ext xmlns:x14="http://schemas.microsoft.com/office/spreadsheetml/2009/9/main" uri="{725AE2AE-9491-48be-B2B4-4EB974FC3084}">
      <x14:pivotCacheDefinition pivotCacheId="16770951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d v="2026-02-08T00:00:00"/>
    <s v="INV-9901"/>
    <x v="0"/>
    <n v="12500"/>
    <s v="Recibido"/>
    <x v="0"/>
    <d v="2026-02-10T00:00:00"/>
    <d v="2026-02-12T00:00:00"/>
    <n v="2"/>
    <n v="0"/>
  </r>
  <r>
    <d v="2026-02-01T00:00:00"/>
    <s v="INV-9902"/>
    <x v="1"/>
    <n v="8400"/>
    <s v="Aduana"/>
    <x v="1"/>
    <d v="2026-02-05T00:00:00"/>
    <d v="2026-02-10T00:00:00"/>
    <n v="5"/>
    <n v="50"/>
  </r>
  <r>
    <d v="2026-02-09T00:00:00"/>
    <s v="INV-9903"/>
    <x v="2"/>
    <n v="15200"/>
    <s v="En Tránsito"/>
    <x v="0"/>
    <d v="2026-02-11T00:00:00"/>
    <d v="2026-02-12T00:00:00"/>
    <n v="1"/>
    <n v="0"/>
  </r>
  <r>
    <d v="2026-02-02T00:00:00"/>
    <s v="INV-9904"/>
    <x v="3"/>
    <n v="5100"/>
    <s v="En Tránsito"/>
    <x v="1"/>
    <d v="2026-02-07T00:00:00"/>
    <d v="2026-02-13T00:00:00"/>
    <n v="6"/>
    <n v="100"/>
  </r>
  <r>
    <d v="2026-02-09T00:00:00"/>
    <s v="INV-9906"/>
    <x v="4"/>
    <n v="6700"/>
    <s v="En Tránsito"/>
    <x v="2"/>
    <d v="2026-02-10T00:00:00"/>
    <d v="2026-02-16T00:00:00"/>
    <n v="6"/>
    <n v="100"/>
  </r>
  <r>
    <d v="2026-02-10T00:00:00"/>
    <s v="INV-9905"/>
    <x v="0"/>
    <n v="22000"/>
    <s v="Aduana"/>
    <x v="2"/>
    <d v="2026-02-12T00:00:00"/>
    <d v="2026-02-16T00:00:00"/>
    <n v="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AFB73-57B3-474F-887C-8B74AAD5FAA8}" name="TablaDinámica2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21:B25" firstHeaderRow="1" firstDataRow="1" firstDataCol="1"/>
  <pivotFields count="10">
    <pivotField numFmtId="14" showAll="0"/>
    <pivotField showAll="0"/>
    <pivotField showAll="0">
      <items count="6">
        <item x="2"/>
        <item x="3"/>
        <item x="4"/>
        <item x="1"/>
        <item x="0"/>
        <item t="default"/>
      </items>
    </pivotField>
    <pivotField numFmtId="44"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14" showAll="0"/>
    <pivotField showAll="0"/>
    <pivotField dataField="1" numFmtId="168" showAll="0"/>
  </pivotFields>
  <rowFields count="1">
    <field x="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a de Gastos de demora (USD)" fld="9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C7CAE-D527-B44C-A3D1-037E98E597BA}" name="TablaDiná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C7" firstHeaderRow="0" firstDataRow="1" firstDataCol="1"/>
  <pivotFields count="10">
    <pivotField numFmtId="14" showAll="0"/>
    <pivotField showAll="0"/>
    <pivotField showAll="0">
      <items count="6">
        <item x="2"/>
        <item x="3"/>
        <item x="4"/>
        <item x="1"/>
        <item x="0"/>
        <item t="default"/>
      </items>
    </pivotField>
    <pivotField numFmtId="44"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14" showAll="0"/>
    <pivotField dataField="1" showAll="0"/>
    <pivotField dataField="1" numFmtId="168" showAll="0"/>
  </pivotFields>
  <rowFields count="1">
    <field x="5"/>
  </rowFields>
  <rowItems count="4"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Días de despacho" fld="8" subtotal="average" baseField="0" baseItem="0"/>
    <dataField name="Suma de Gastos de demora (USD)" fld="9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veedor" xr10:uid="{D7113E7C-1E07-2A48-8ED5-5CBD1530EB4C}" sourceName="Proveedor">
  <pivotTables>
    <pivotTable tabId="4" name="TablaDinámica1"/>
    <pivotTable tabId="4" name="TablaDinámica2"/>
  </pivotTables>
  <data>
    <tabular pivotCacheId="1677095165">
      <items count="5">
        <i x="2" s="1"/>
        <i x="3" s="1"/>
        <i x="4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veedor" xr10:uid="{417C8ED7-5904-ED47-9B75-C9454198694C}" cache="SegmentaciónDeDatos_Proveedor" caption="Proveedor" rowHeight="23071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171A0-DF41-A54A-A1D0-9D15B1A3AE61}" name="Tbl_Importaciones" displayName="Tbl_Importaciones" ref="A1:J7" totalsRowShown="0" headerRowDxfId="21" headerRowBorderDxfId="28" tableBorderDxfId="29" totalsRowBorderDxfId="27">
  <autoFilter ref="A1:J7" xr:uid="{6EE171A0-DF41-A54A-A1D0-9D15B1A3AE61}"/>
  <tableColumns count="10">
    <tableColumn id="1" xr3:uid="{F0CDF9A3-1AC1-2B4F-81C1-4103C7A1DD5B}" name="Fecha de Embarque" dataDxfId="26"/>
    <tableColumn id="2" xr3:uid="{FC5E2B8E-0B19-D547-A227-EC512059D09B}" name="No. Factura" dataDxfId="25"/>
    <tableColumn id="3" xr3:uid="{E2D4DE80-A0BA-3A40-BBD3-DD5ED73FFB32}" name="Proveedor" dataDxfId="24"/>
    <tableColumn id="4" xr3:uid="{D0A3B041-D1AA-5745-AC2B-9C2613E3EA39}" name="Valor Bruto (USD)" dataDxfId="23"/>
    <tableColumn id="5" xr3:uid="{D556AC27-8912-5D49-9091-8CF93C04228D}" name="Estatus" dataDxfId="22"/>
    <tableColumn id="6" xr3:uid="{2B7166D5-0C13-5940-8D89-861BE5360F29}" name="Agente aduanal" dataDxfId="5"/>
    <tableColumn id="7" xr3:uid="{B9422A78-63BC-9748-A23F-175CE8B0E2D2}" name="Fecha de arribo" dataDxfId="9"/>
    <tableColumn id="8" xr3:uid="{AC4CF2E8-6E7A-244C-A7D4-90DC621E8FFF}" name="Fecha de liberación" dataDxfId="8"/>
    <tableColumn id="9" xr3:uid="{3D65D614-9BB5-B64C-A05F-F1F2B2049FBC}" name="Días de despacho" dataDxfId="4">
      <calculatedColumnFormula>Tbl_Importaciones[[#This Row],[Fecha de liberación]]-Tbl_Importaciones[[#This Row],[Fecha de arribo]]</calculatedColumnFormula>
    </tableColumn>
    <tableColumn id="10" xr3:uid="{8A2A06E6-A203-0A43-840A-AE8B95F1F6A0}" name="Gastos de demora (USD)" dataDxfId="3">
      <calculatedColumnFormula>IF(Tbl_Importaciones[[#This Row],[Días de despacho]]&gt;4,(Tbl_Importaciones[[#This Row],[Días de despacho]]-4)*50,0)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F20E1B-F2C8-8845-975C-438AB5EFB744}" name="Tbl_PackingList" displayName="Tbl_PackingList" ref="A1:B4" totalsRowShown="0" headerRowDxfId="17" dataDxfId="18">
  <autoFilter ref="A1:B4" xr:uid="{04F20E1B-F2C8-8845-975C-438AB5EFB744}"/>
  <tableColumns count="2">
    <tableColumn id="1" xr3:uid="{AA331FD4-8F1B-C24E-AF87-6829BF64A06C}" name="SKU" dataDxfId="20"/>
    <tableColumn id="2" xr3:uid="{B3837851-3680-5041-B827-58C99253B9DF}" name="Cantidad Recibida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1F52BF-F009-1B49-89F3-AC3D2A6F6177}" name="Tbl_Auditoria" displayName="Tbl_Auditoria" ref="A1:E4" totalsRowShown="0" headerRowDxfId="13" dataDxfId="14">
  <autoFilter ref="A1:E4" xr:uid="{511F52BF-F009-1B49-89F3-AC3D2A6F6177}"/>
  <tableColumns count="5">
    <tableColumn id="1" xr3:uid="{F0AE4D43-06A4-204D-B207-33B36A4B2992}" name="SKU" dataDxfId="16"/>
    <tableColumn id="2" xr3:uid="{C3B26C5F-27E8-5947-B874-29AF99360E9D}" name="Cantidad Pedida" dataDxfId="15"/>
    <tableColumn id="3" xr3:uid="{FB28B945-E6AC-4044-9E71-68C2CBD397FC}" name="Cantidad Recibida" dataDxfId="10">
      <calculatedColumnFormula>_xlfn.XLOOKUP(A2,Tbl_PackingList[SKU],Tbl_PackingList[Cantidad Recibida], "No encontrado")</calculatedColumnFormula>
    </tableColumn>
    <tableColumn id="4" xr3:uid="{CB40F751-D1EE-B14F-9FDD-49A6FCD59CB5}" name="Discrepancia" dataDxfId="12">
      <calculatedColumnFormula>Tbl_Auditoria[[#This Row],[Cantidad Recibida]]-Tbl_Auditoria[[#This Row],[Cantidad Pedida]]</calculatedColumnFormula>
    </tableColumn>
    <tableColumn id="5" xr3:uid="{F989A651-7B8D-4247-9DDA-8258160EE0C3}" name="Estatus_revisión" dataDxfId="11">
      <calculatedColumnFormula>IF(Tbl_Auditoria[[#This Row],[Discrepancia]]=0,"OK","REVISAR CON PROVEEDOR")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8A6289-002B-0945-AF65-76E36AD92E73}" name="Tbl_Fletes" displayName="Tbl_Fletes" ref="A1:B7" totalsRowShown="0" headerRowDxfId="1">
  <autoFilter ref="A1:B7" xr:uid="{218A6289-002B-0945-AF65-76E36AD92E73}"/>
  <tableColumns count="2">
    <tableColumn id="1" xr3:uid="{62B60C70-EE69-764F-8768-38F0D19F79EE}" name="No. Factura" dataDxfId="2"/>
    <tableColumn id="2" xr3:uid="{E9A99448-5C60-8542-BED2-CB128E0BF56C}" name="Costo Flete (USD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2DB2-93EA-4EE5-ADC5-C4C573A8C7FF}">
  <dimension ref="A1:J22"/>
  <sheetViews>
    <sheetView tabSelected="1" topLeftCell="C1" zoomScale="120" zoomScaleNormal="120" workbookViewId="0">
      <selection activeCell="G4" sqref="G4"/>
    </sheetView>
  </sheetViews>
  <sheetFormatPr baseColWidth="10" defaultRowHeight="15" x14ac:dyDescent="0.2"/>
  <cols>
    <col min="1" max="1" width="21.1640625" customWidth="1"/>
    <col min="2" max="2" width="15.5" customWidth="1"/>
    <col min="3" max="3" width="16.1640625" customWidth="1"/>
    <col min="4" max="4" width="18.6640625" customWidth="1"/>
    <col min="5" max="5" width="14.1640625" customWidth="1"/>
    <col min="6" max="6" width="17.5" customWidth="1"/>
    <col min="7" max="7" width="17.6640625" customWidth="1"/>
    <col min="8" max="8" width="21" customWidth="1"/>
    <col min="9" max="9" width="19.5" customWidth="1"/>
    <col min="10" max="10" width="23.5" customWidth="1"/>
  </cols>
  <sheetData>
    <row r="1" spans="1:10" ht="15" customHeight="1" thickBot="1" x14ac:dyDescent="0.25">
      <c r="A1" s="6" t="s">
        <v>3</v>
      </c>
      <c r="B1" s="7" t="s">
        <v>4</v>
      </c>
      <c r="C1" s="7" t="s">
        <v>0</v>
      </c>
      <c r="D1" s="7" t="s">
        <v>1</v>
      </c>
      <c r="E1" s="8" t="s">
        <v>2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37</v>
      </c>
    </row>
    <row r="2" spans="1:10" ht="15" customHeight="1" thickBot="1" x14ac:dyDescent="0.25">
      <c r="A2" s="3">
        <v>46061</v>
      </c>
      <c r="B2" s="1" t="s">
        <v>5</v>
      </c>
      <c r="C2" s="1" t="s">
        <v>6</v>
      </c>
      <c r="D2" s="2">
        <v>12500</v>
      </c>
      <c r="E2" s="5" t="s">
        <v>7</v>
      </c>
      <c r="F2" s="13" t="s">
        <v>31</v>
      </c>
      <c r="G2" s="15">
        <v>46063</v>
      </c>
      <c r="H2" s="15">
        <v>46065</v>
      </c>
      <c r="I2">
        <f>Tbl_Importaciones[[#This Row],[Fecha de liberación]]-Tbl_Importaciones[[#This Row],[Fecha de arribo]]</f>
        <v>2</v>
      </c>
      <c r="J2" s="19">
        <f>IF(Tbl_Importaciones[[#This Row],[Días de despacho]]&gt;4,(Tbl_Importaciones[[#This Row],[Días de despacho]]-4)*50,0)</f>
        <v>0</v>
      </c>
    </row>
    <row r="3" spans="1:10" ht="16" thickBot="1" x14ac:dyDescent="0.25">
      <c r="A3" s="3">
        <v>46054</v>
      </c>
      <c r="B3" s="1" t="s">
        <v>8</v>
      </c>
      <c r="C3" s="1" t="s">
        <v>9</v>
      </c>
      <c r="D3" s="2">
        <v>8400</v>
      </c>
      <c r="E3" s="4" t="s">
        <v>10</v>
      </c>
      <c r="F3" s="13" t="s">
        <v>32</v>
      </c>
      <c r="G3" s="15">
        <v>46058</v>
      </c>
      <c r="H3" s="15">
        <v>46063</v>
      </c>
      <c r="I3">
        <f>Tbl_Importaciones[[#This Row],[Fecha de liberación]]-Tbl_Importaciones[[#This Row],[Fecha de arribo]]</f>
        <v>5</v>
      </c>
      <c r="J3" s="19">
        <f>IF(Tbl_Importaciones[[#This Row],[Días de despacho]]&gt;4,(Tbl_Importaciones[[#This Row],[Días de despacho]]-4)*50,0)</f>
        <v>50</v>
      </c>
    </row>
    <row r="4" spans="1:10" ht="15" customHeight="1" thickBot="1" x14ac:dyDescent="0.25">
      <c r="A4" s="3">
        <v>46062</v>
      </c>
      <c r="B4" s="1" t="s">
        <v>11</v>
      </c>
      <c r="C4" s="1" t="s">
        <v>12</v>
      </c>
      <c r="D4" s="2">
        <v>15200</v>
      </c>
      <c r="E4" s="5" t="s">
        <v>13</v>
      </c>
      <c r="F4" s="13" t="s">
        <v>31</v>
      </c>
      <c r="G4" s="15">
        <v>46064</v>
      </c>
      <c r="H4" s="15">
        <v>46065</v>
      </c>
      <c r="I4">
        <f>Tbl_Importaciones[[#This Row],[Fecha de liberación]]-Tbl_Importaciones[[#This Row],[Fecha de arribo]]</f>
        <v>1</v>
      </c>
      <c r="J4" s="19">
        <f>IF(Tbl_Importaciones[[#This Row],[Días de despacho]]&gt;4,(Tbl_Importaciones[[#This Row],[Días de despacho]]-4)*50,0)</f>
        <v>0</v>
      </c>
    </row>
    <row r="5" spans="1:10" ht="15" customHeight="1" thickBot="1" x14ac:dyDescent="0.25">
      <c r="A5" s="3">
        <v>46055</v>
      </c>
      <c r="B5" s="1" t="s">
        <v>14</v>
      </c>
      <c r="C5" s="1" t="s">
        <v>15</v>
      </c>
      <c r="D5" s="2">
        <v>5100</v>
      </c>
      <c r="E5" s="5" t="s">
        <v>13</v>
      </c>
      <c r="F5" s="13" t="s">
        <v>32</v>
      </c>
      <c r="G5" s="15">
        <v>46060</v>
      </c>
      <c r="H5" s="15">
        <v>46066</v>
      </c>
      <c r="I5">
        <f>Tbl_Importaciones[[#This Row],[Fecha de liberación]]-Tbl_Importaciones[[#This Row],[Fecha de arribo]]</f>
        <v>6</v>
      </c>
      <c r="J5" s="19">
        <f>IF(Tbl_Importaciones[[#This Row],[Días de despacho]]&gt;4,(Tbl_Importaciones[[#This Row],[Días de despacho]]-4)*50,0)</f>
        <v>100</v>
      </c>
    </row>
    <row r="6" spans="1:10" ht="15" customHeight="1" thickBot="1" x14ac:dyDescent="0.25">
      <c r="A6" s="3">
        <v>46062</v>
      </c>
      <c r="B6" s="1" t="s">
        <v>17</v>
      </c>
      <c r="C6" s="1" t="s">
        <v>18</v>
      </c>
      <c r="D6" s="2">
        <v>6700</v>
      </c>
      <c r="E6" s="5" t="s">
        <v>13</v>
      </c>
      <c r="F6" s="13" t="s">
        <v>33</v>
      </c>
      <c r="G6" s="15">
        <v>46063</v>
      </c>
      <c r="H6" s="15">
        <v>46069</v>
      </c>
      <c r="I6">
        <f>Tbl_Importaciones[[#This Row],[Fecha de liberación]]-Tbl_Importaciones[[#This Row],[Fecha de arribo]]</f>
        <v>6</v>
      </c>
      <c r="J6" s="19">
        <f>IF(Tbl_Importaciones[[#This Row],[Días de despacho]]&gt;4,(Tbl_Importaciones[[#This Row],[Días de despacho]]-4)*50,0)</f>
        <v>100</v>
      </c>
    </row>
    <row r="7" spans="1:10" ht="15" customHeight="1" x14ac:dyDescent="0.2">
      <c r="A7" s="9">
        <v>46063</v>
      </c>
      <c r="B7" s="10" t="s">
        <v>16</v>
      </c>
      <c r="C7" s="10" t="s">
        <v>6</v>
      </c>
      <c r="D7" s="11">
        <v>22000</v>
      </c>
      <c r="E7" s="12" t="s">
        <v>10</v>
      </c>
      <c r="F7" s="13" t="s">
        <v>33</v>
      </c>
      <c r="G7" s="15">
        <v>46065</v>
      </c>
      <c r="H7" s="15">
        <v>46069</v>
      </c>
      <c r="I7">
        <f>Tbl_Importaciones[[#This Row],[Fecha de liberación]]-Tbl_Importaciones[[#This Row],[Fecha de arribo]]</f>
        <v>4</v>
      </c>
      <c r="J7" s="19">
        <f>IF(Tbl_Importaciones[[#This Row],[Días de despacho]]&gt;4,(Tbl_Importaciones[[#This Row],[Días de despacho]]-4)*50,0)</f>
        <v>0</v>
      </c>
    </row>
    <row r="16" spans="1:10" x14ac:dyDescent="0.2">
      <c r="F16" s="13"/>
      <c r="G16" s="13"/>
      <c r="H16" s="13"/>
      <c r="I16" s="13"/>
    </row>
    <row r="17" spans="6:6" x14ac:dyDescent="0.2">
      <c r="F17" s="15"/>
    </row>
    <row r="18" spans="6:6" x14ac:dyDescent="0.2">
      <c r="F18" s="15"/>
    </row>
    <row r="19" spans="6:6" x14ac:dyDescent="0.2">
      <c r="F19" s="15"/>
    </row>
    <row r="20" spans="6:6" x14ac:dyDescent="0.2">
      <c r="F20" s="15"/>
    </row>
    <row r="21" spans="6:6" x14ac:dyDescent="0.2">
      <c r="F21" s="15"/>
    </row>
    <row r="22" spans="6:6" x14ac:dyDescent="0.2">
      <c r="F22" s="15"/>
    </row>
  </sheetData>
  <conditionalFormatting sqref="A2:E7">
    <cfRule type="expression" dxfId="7" priority="2">
      <formula>AND($E2="Aduana",TODAY() - $A2 &gt;3)</formula>
    </cfRule>
  </conditionalFormatting>
  <conditionalFormatting sqref="D2:D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{80DF6881-677C-A144-9049-2FC8811D5819}</x14:id>
        </ext>
      </extLst>
    </cfRule>
  </conditionalFormatting>
  <dataValidations count="2">
    <dataValidation type="list" allowBlank="1" showInputMessage="1" showErrorMessage="1" sqref="E2:E7" xr:uid="{D7985C12-8BB4-4D86-9854-3285A71C2DF5}">
      <formula1>"En Tránsito,Aduana,Recibido"</formula1>
    </dataValidation>
    <dataValidation type="textLength" operator="equal" allowBlank="1" showInputMessage="1" showErrorMessage="1" errorTitle="Error de formato" error="El número de factura debe tener 8 caracteres. Verifica con el documento original de importación." sqref="B2:B7" xr:uid="{EDBD21EE-C123-D245-8AB0-2AA429007C47}">
      <formula1>8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DF6881-677C-A144-9049-2FC8811D58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49DD-AAA4-834B-8C38-AA91C0AED3D9}">
  <dimension ref="A1:B4"/>
  <sheetViews>
    <sheetView workbookViewId="0">
      <selection activeCell="D10" sqref="D10"/>
    </sheetView>
  </sheetViews>
  <sheetFormatPr baseColWidth="10" defaultRowHeight="15" x14ac:dyDescent="0.2"/>
  <cols>
    <col min="2" max="2" width="19.6640625" customWidth="1"/>
  </cols>
  <sheetData>
    <row r="1" spans="1:2" x14ac:dyDescent="0.2">
      <c r="A1" s="13" t="s">
        <v>19</v>
      </c>
      <c r="B1" s="13" t="s">
        <v>20</v>
      </c>
    </row>
    <row r="2" spans="1:2" x14ac:dyDescent="0.2">
      <c r="A2" s="14" t="s">
        <v>21</v>
      </c>
      <c r="B2" s="14">
        <v>500</v>
      </c>
    </row>
    <row r="3" spans="1:2" x14ac:dyDescent="0.2">
      <c r="A3" s="14" t="s">
        <v>22</v>
      </c>
      <c r="B3" s="14">
        <v>300</v>
      </c>
    </row>
    <row r="4" spans="1:2" x14ac:dyDescent="0.2">
      <c r="A4" s="14" t="s">
        <v>23</v>
      </c>
      <c r="B4" s="14">
        <v>150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BE62-822E-174F-908A-307DEDE1A935}">
  <dimension ref="A1:E4"/>
  <sheetViews>
    <sheetView workbookViewId="0">
      <selection activeCell="E16" sqref="E16"/>
    </sheetView>
  </sheetViews>
  <sheetFormatPr baseColWidth="10" defaultRowHeight="15" x14ac:dyDescent="0.2"/>
  <cols>
    <col min="2" max="2" width="18" customWidth="1"/>
    <col min="3" max="3" width="19.6640625" customWidth="1"/>
    <col min="4" max="4" width="14.83203125" customWidth="1"/>
    <col min="5" max="5" width="26.1640625" customWidth="1"/>
  </cols>
  <sheetData>
    <row r="1" spans="1:5" x14ac:dyDescent="0.2">
      <c r="A1" s="13" t="s">
        <v>19</v>
      </c>
      <c r="B1" s="13" t="s">
        <v>24</v>
      </c>
      <c r="C1" s="13" t="s">
        <v>20</v>
      </c>
      <c r="D1" s="13" t="s">
        <v>25</v>
      </c>
      <c r="E1" s="13" t="s">
        <v>26</v>
      </c>
    </row>
    <row r="2" spans="1:5" x14ac:dyDescent="0.2">
      <c r="A2" s="14" t="s">
        <v>21</v>
      </c>
      <c r="B2" s="14">
        <v>500</v>
      </c>
      <c r="C2" s="14">
        <f>_xlfn.XLOOKUP(A2,Tbl_PackingList[SKU],Tbl_PackingList[Cantidad Recibida], "No encontrado")</f>
        <v>500</v>
      </c>
      <c r="D2" s="14">
        <f>Tbl_Auditoria[[#This Row],[Cantidad Recibida]]-Tbl_Auditoria[[#This Row],[Cantidad Pedida]]</f>
        <v>0</v>
      </c>
      <c r="E2" s="14" t="str">
        <f>IF(Tbl_Auditoria[[#This Row],[Discrepancia]]=0,"OK","REVISAR CON PROVEEDOR")</f>
        <v>OK</v>
      </c>
    </row>
    <row r="3" spans="1:5" x14ac:dyDescent="0.2">
      <c r="A3" s="14" t="s">
        <v>22</v>
      </c>
      <c r="B3" s="14">
        <v>350</v>
      </c>
      <c r="C3" s="14">
        <f>_xlfn.XLOOKUP(A3,Tbl_PackingList[SKU],Tbl_PackingList[Cantidad Recibida], "No encontrado")</f>
        <v>300</v>
      </c>
      <c r="D3" s="14">
        <f>Tbl_Auditoria[[#This Row],[Cantidad Recibida]]-Tbl_Auditoria[[#This Row],[Cantidad Pedida]]</f>
        <v>-50</v>
      </c>
      <c r="E3" s="14" t="str">
        <f>IF(Tbl_Auditoria[[#This Row],[Discrepancia]]=0,"OK","REVISAR CON PROVEEDOR")</f>
        <v>REVISAR CON PROVEEDOR</v>
      </c>
    </row>
    <row r="4" spans="1:5" x14ac:dyDescent="0.2">
      <c r="A4" s="14" t="s">
        <v>23</v>
      </c>
      <c r="B4" s="14">
        <v>150</v>
      </c>
      <c r="C4" s="14">
        <f>_xlfn.XLOOKUP(A4,Tbl_PackingList[SKU],Tbl_PackingList[Cantidad Recibida], "No encontrado")</f>
        <v>150</v>
      </c>
      <c r="D4" s="14">
        <f>Tbl_Auditoria[[#This Row],[Cantidad Recibida]]-Tbl_Auditoria[[#This Row],[Cantidad Pedida]]</f>
        <v>0</v>
      </c>
      <c r="E4" s="14" t="str">
        <f>IF(Tbl_Auditoria[[#This Row],[Discrepancia]]=0,"OK","REVISAR CON PROVEEDOR")</f>
        <v>OK</v>
      </c>
    </row>
  </sheetData>
  <conditionalFormatting sqref="D2:D4">
    <cfRule type="cellIs" dxfId="6" priority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7BBF-0475-4944-B54D-AC0F4DBB5252}">
  <dimension ref="A3:C25"/>
  <sheetViews>
    <sheetView zoomScale="91" workbookViewId="0">
      <selection activeCell="B5" sqref="B5"/>
    </sheetView>
  </sheetViews>
  <sheetFormatPr baseColWidth="10" defaultRowHeight="15" x14ac:dyDescent="0.2"/>
  <cols>
    <col min="1" max="1" width="16.33203125" bestFit="1" customWidth="1"/>
    <col min="2" max="3" width="27.33203125" bestFit="1" customWidth="1"/>
  </cols>
  <sheetData>
    <row r="3" spans="1:3" x14ac:dyDescent="0.2">
      <c r="A3" s="16" t="s">
        <v>34</v>
      </c>
      <c r="B3" t="s">
        <v>36</v>
      </c>
      <c r="C3" t="s">
        <v>38</v>
      </c>
    </row>
    <row r="4" spans="1:3" x14ac:dyDescent="0.2">
      <c r="A4" s="17" t="s">
        <v>31</v>
      </c>
      <c r="B4" s="18">
        <v>1.5</v>
      </c>
      <c r="C4" s="18">
        <v>0</v>
      </c>
    </row>
    <row r="5" spans="1:3" x14ac:dyDescent="0.2">
      <c r="A5" s="17" t="s">
        <v>33</v>
      </c>
      <c r="B5" s="18">
        <v>5</v>
      </c>
      <c r="C5" s="18">
        <v>100</v>
      </c>
    </row>
    <row r="6" spans="1:3" x14ac:dyDescent="0.2">
      <c r="A6" s="17" t="s">
        <v>32</v>
      </c>
      <c r="B6" s="18">
        <v>5.5</v>
      </c>
      <c r="C6" s="18">
        <v>150</v>
      </c>
    </row>
    <row r="7" spans="1:3" x14ac:dyDescent="0.2">
      <c r="A7" s="17" t="s">
        <v>35</v>
      </c>
      <c r="B7" s="18">
        <v>4</v>
      </c>
      <c r="C7" s="18">
        <v>250</v>
      </c>
    </row>
    <row r="21" spans="1:2" x14ac:dyDescent="0.2">
      <c r="A21" s="16" t="s">
        <v>34</v>
      </c>
      <c r="B21" t="s">
        <v>38</v>
      </c>
    </row>
    <row r="22" spans="1:2" x14ac:dyDescent="0.2">
      <c r="A22" s="17" t="s">
        <v>32</v>
      </c>
      <c r="B22" s="18">
        <v>150</v>
      </c>
    </row>
    <row r="23" spans="1:2" x14ac:dyDescent="0.2">
      <c r="A23" s="17" t="s">
        <v>33</v>
      </c>
      <c r="B23" s="18">
        <v>100</v>
      </c>
    </row>
    <row r="24" spans="1:2" x14ac:dyDescent="0.2">
      <c r="A24" s="17" t="s">
        <v>31</v>
      </c>
      <c r="B24" s="18">
        <v>0</v>
      </c>
    </row>
    <row r="25" spans="1:2" x14ac:dyDescent="0.2">
      <c r="A25" s="17" t="s">
        <v>35</v>
      </c>
      <c r="B25" s="18">
        <v>250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BD1F-4CCD-FC40-BC9E-EDD9DBB1BC02}">
  <dimension ref="A1:B7"/>
  <sheetViews>
    <sheetView workbookViewId="0">
      <selection activeCell="B5" sqref="B5"/>
    </sheetView>
  </sheetViews>
  <sheetFormatPr baseColWidth="10" defaultRowHeight="15" x14ac:dyDescent="0.2"/>
  <cols>
    <col min="1" max="1" width="13.6640625" customWidth="1"/>
    <col min="2" max="2" width="19.33203125" customWidth="1"/>
  </cols>
  <sheetData>
    <row r="1" spans="1:2" x14ac:dyDescent="0.2">
      <c r="A1" s="13" t="s">
        <v>4</v>
      </c>
      <c r="B1" s="13" t="s">
        <v>39</v>
      </c>
    </row>
    <row r="2" spans="1:2" x14ac:dyDescent="0.2">
      <c r="A2" s="13" t="s">
        <v>40</v>
      </c>
      <c r="B2" s="20">
        <v>1200</v>
      </c>
    </row>
    <row r="3" spans="1:2" x14ac:dyDescent="0.2">
      <c r="A3" s="13" t="s">
        <v>41</v>
      </c>
      <c r="B3" s="20">
        <v>2500</v>
      </c>
    </row>
    <row r="4" spans="1:2" x14ac:dyDescent="0.2">
      <c r="A4" s="13" t="s">
        <v>42</v>
      </c>
      <c r="B4" s="20">
        <v>1100</v>
      </c>
    </row>
    <row r="5" spans="1:2" x14ac:dyDescent="0.2">
      <c r="A5" s="13" t="s">
        <v>43</v>
      </c>
      <c r="B5" s="20">
        <v>2300</v>
      </c>
    </row>
    <row r="6" spans="1:2" x14ac:dyDescent="0.2">
      <c r="A6" s="13" t="s">
        <v>44</v>
      </c>
      <c r="B6" s="20">
        <v>950</v>
      </c>
    </row>
    <row r="7" spans="1:2" x14ac:dyDescent="0.2">
      <c r="A7" s="13" t="s">
        <v>45</v>
      </c>
      <c r="B7" s="20">
        <v>950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importaciones</vt:lpstr>
      <vt:lpstr>Packing_List</vt:lpstr>
      <vt:lpstr>Auditoria_Facturacion</vt:lpstr>
      <vt:lpstr>Dashboard</vt:lpstr>
      <vt:lpstr>Costos_flete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Angel Gutiérrez Delgado</dc:creator>
  <cp:lastModifiedBy>Juan Ángel  Gutiérrez Delgado</cp:lastModifiedBy>
  <dcterms:created xsi:type="dcterms:W3CDTF">2026-02-11T00:21:39Z</dcterms:created>
  <dcterms:modified xsi:type="dcterms:W3CDTF">2026-02-12T20:53:14Z</dcterms:modified>
</cp:coreProperties>
</file>