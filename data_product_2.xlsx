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2c24d3e29ca445/Desktop/excel/"/>
    </mc:Choice>
  </mc:AlternateContent>
  <xr:revisionPtr revIDLastSave="167" documentId="8_{C6BD6869-D4CB-0A4D-8E2F-D4F84762B185}" xr6:coauthVersionLast="47" xr6:coauthVersionMax="47" xr10:uidLastSave="{19B71227-B3BE-40C7-BD34-7B0098AFD443}"/>
  <bookViews>
    <workbookView xWindow="-120" yWindow="-120" windowWidth="29040" windowHeight="15720" firstSheet="2" activeTab="4" xr2:uid="{7EBCA80A-53DA-FB4B-9D20-94339DDBFB87}"/>
  </bookViews>
  <sheets>
    <sheet name="Dashboard" sheetId="6" r:id="rId1"/>
    <sheet name="Datos_Sucios_Importaciones" sheetId="10" r:id="rId2"/>
    <sheet name="Importaciones_Mensuales" sheetId="8" r:id="rId3"/>
    <sheet name="Tbl_Embarques" sheetId="7" r:id="rId4"/>
    <sheet name="BD_Embarques" sheetId="1" r:id="rId5"/>
    <sheet name="Packing_List" sheetId="5" r:id="rId6"/>
    <sheet name="Cat_Agentes" sheetId="2" r:id="rId7"/>
    <sheet name="Cat_Proveedores" sheetId="3" r:id="rId8"/>
    <sheet name="Tarifas_Demurrage" sheetId="4" r:id="rId9"/>
  </sheets>
  <definedNames>
    <definedName name="DatosExternos_1" localSheetId="3" hidden="1">Tbl_Embarques!$A$1:$V$51</definedName>
    <definedName name="DatosExternos_2" localSheetId="2" hidden="1">Importaciones_Mensuales!$A$1:$D$11</definedName>
    <definedName name="DatosExternos_3" localSheetId="1" hidden="1">Datos_Sucios_Importaciones!$A$1:$G$11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S2" i="1"/>
  <c r="T2" i="1" s="1"/>
  <c r="U2" i="1" s="1"/>
  <c r="S3" i="1"/>
  <c r="T3" i="1" s="1"/>
  <c r="U3" i="1" s="1"/>
  <c r="S4" i="1"/>
  <c r="T4" i="1" s="1"/>
  <c r="U4" i="1" s="1"/>
  <c r="S5" i="1"/>
  <c r="T5" i="1" s="1"/>
  <c r="U5" i="1" s="1"/>
  <c r="S6" i="1"/>
  <c r="T6" i="1" s="1"/>
  <c r="U6" i="1" s="1"/>
  <c r="S7" i="1"/>
  <c r="T7" i="1" s="1"/>
  <c r="U7" i="1" s="1"/>
  <c r="S8" i="1"/>
  <c r="T8" i="1" s="1"/>
  <c r="U8" i="1" s="1"/>
  <c r="S9" i="1"/>
  <c r="T9" i="1" s="1"/>
  <c r="U9" i="1" s="1"/>
  <c r="S10" i="1"/>
  <c r="T10" i="1" s="1"/>
  <c r="U10" i="1" s="1"/>
  <c r="S11" i="1"/>
  <c r="T11" i="1" s="1"/>
  <c r="U11" i="1" s="1"/>
  <c r="S12" i="1"/>
  <c r="T12" i="1" s="1"/>
  <c r="U12" i="1" s="1"/>
  <c r="S13" i="1"/>
  <c r="T13" i="1" s="1"/>
  <c r="U13" i="1" s="1"/>
  <c r="S14" i="1"/>
  <c r="T14" i="1" s="1"/>
  <c r="U14" i="1" s="1"/>
  <c r="S15" i="1"/>
  <c r="T15" i="1" s="1"/>
  <c r="U15" i="1" s="1"/>
  <c r="S16" i="1"/>
  <c r="T16" i="1" s="1"/>
  <c r="U16" i="1" s="1"/>
  <c r="S17" i="1"/>
  <c r="T17" i="1" s="1"/>
  <c r="U17" i="1" s="1"/>
  <c r="S18" i="1"/>
  <c r="T18" i="1" s="1"/>
  <c r="U18" i="1" s="1"/>
  <c r="S19" i="1"/>
  <c r="T19" i="1" s="1"/>
  <c r="U19" i="1" s="1"/>
  <c r="S20" i="1"/>
  <c r="T20" i="1" s="1"/>
  <c r="U20" i="1" s="1"/>
  <c r="S21" i="1"/>
  <c r="T21" i="1" s="1"/>
  <c r="U21" i="1" s="1"/>
  <c r="S22" i="1"/>
  <c r="T22" i="1" s="1"/>
  <c r="U22" i="1" s="1"/>
  <c r="S23" i="1"/>
  <c r="T23" i="1" s="1"/>
  <c r="U23" i="1" s="1"/>
  <c r="S24" i="1"/>
  <c r="T24" i="1" s="1"/>
  <c r="U24" i="1" s="1"/>
  <c r="S25" i="1"/>
  <c r="T25" i="1" s="1"/>
  <c r="U25" i="1" s="1"/>
  <c r="S26" i="1"/>
  <c r="T26" i="1" s="1"/>
  <c r="U26" i="1" s="1"/>
  <c r="S27" i="1"/>
  <c r="T27" i="1" s="1"/>
  <c r="U27" i="1" s="1"/>
  <c r="S28" i="1"/>
  <c r="T28" i="1" s="1"/>
  <c r="U28" i="1" s="1"/>
  <c r="S29" i="1"/>
  <c r="T29" i="1" s="1"/>
  <c r="U29" i="1" s="1"/>
  <c r="S30" i="1"/>
  <c r="T30" i="1" s="1"/>
  <c r="U30" i="1" s="1"/>
  <c r="S31" i="1"/>
  <c r="T31" i="1" s="1"/>
  <c r="U31" i="1" s="1"/>
  <c r="S32" i="1"/>
  <c r="T32" i="1" s="1"/>
  <c r="U32" i="1" s="1"/>
  <c r="S33" i="1"/>
  <c r="T33" i="1" s="1"/>
  <c r="U33" i="1" s="1"/>
  <c r="S34" i="1"/>
  <c r="T34" i="1" s="1"/>
  <c r="U34" i="1" s="1"/>
  <c r="S35" i="1"/>
  <c r="T35" i="1" s="1"/>
  <c r="U35" i="1" s="1"/>
  <c r="S36" i="1"/>
  <c r="T36" i="1" s="1"/>
  <c r="U36" i="1" s="1"/>
  <c r="S37" i="1"/>
  <c r="T37" i="1" s="1"/>
  <c r="U37" i="1" s="1"/>
  <c r="S38" i="1"/>
  <c r="T38" i="1" s="1"/>
  <c r="U38" i="1" s="1"/>
  <c r="S39" i="1"/>
  <c r="T39" i="1" s="1"/>
  <c r="U39" i="1" s="1"/>
  <c r="S40" i="1"/>
  <c r="T40" i="1" s="1"/>
  <c r="U40" i="1" s="1"/>
  <c r="S41" i="1"/>
  <c r="T41" i="1" s="1"/>
  <c r="U41" i="1" s="1"/>
  <c r="S42" i="1"/>
  <c r="T42" i="1" s="1"/>
  <c r="U42" i="1" s="1"/>
  <c r="S43" i="1"/>
  <c r="T43" i="1" s="1"/>
  <c r="U43" i="1" s="1"/>
  <c r="S44" i="1"/>
  <c r="T44" i="1" s="1"/>
  <c r="U44" i="1" s="1"/>
  <c r="S45" i="1"/>
  <c r="T45" i="1" s="1"/>
  <c r="U45" i="1" s="1"/>
  <c r="S46" i="1"/>
  <c r="T46" i="1" s="1"/>
  <c r="U46" i="1" s="1"/>
  <c r="S47" i="1"/>
  <c r="T47" i="1" s="1"/>
  <c r="U47" i="1" s="1"/>
  <c r="S48" i="1"/>
  <c r="T48" i="1" s="1"/>
  <c r="U48" i="1" s="1"/>
  <c r="S49" i="1"/>
  <c r="T49" i="1" s="1"/>
  <c r="U49" i="1" s="1"/>
  <c r="S50" i="1"/>
  <c r="T50" i="1" s="1"/>
  <c r="U50" i="1" s="1"/>
  <c r="S51" i="1"/>
  <c r="T51" i="1" s="1"/>
  <c r="U51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" i="1"/>
  <c r="O2" i="1"/>
  <c r="R2" i="1" s="1"/>
  <c r="O3" i="1"/>
  <c r="R3" i="1" s="1"/>
  <c r="O4" i="1"/>
  <c r="R4" i="1" s="1"/>
  <c r="O5" i="1"/>
  <c r="R5" i="1" s="1"/>
  <c r="O6" i="1"/>
  <c r="R6" i="1" s="1"/>
  <c r="O7" i="1"/>
  <c r="R7" i="1" s="1"/>
  <c r="O8" i="1"/>
  <c r="R8" i="1" s="1"/>
  <c r="O9" i="1"/>
  <c r="R9" i="1" s="1"/>
  <c r="O10" i="1"/>
  <c r="R10" i="1" s="1"/>
  <c r="O11" i="1"/>
  <c r="R11" i="1" s="1"/>
  <c r="O12" i="1"/>
  <c r="R12" i="1" s="1"/>
  <c r="O13" i="1"/>
  <c r="R13" i="1" s="1"/>
  <c r="O14" i="1"/>
  <c r="V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V22" i="1" s="1"/>
  <c r="O23" i="1"/>
  <c r="V23" i="1" s="1"/>
  <c r="O24" i="1"/>
  <c r="V24" i="1" s="1"/>
  <c r="O25" i="1"/>
  <c r="V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V38" i="1" s="1"/>
  <c r="O39" i="1"/>
  <c r="R39" i="1" s="1"/>
  <c r="O40" i="1"/>
  <c r="R40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F35" i="6"/>
  <c r="V51" i="1" l="1"/>
  <c r="V43" i="1"/>
  <c r="V35" i="1"/>
  <c r="V27" i="1"/>
  <c r="V19" i="1"/>
  <c r="V11" i="1"/>
  <c r="V3" i="1"/>
  <c r="V49" i="1"/>
  <c r="V41" i="1"/>
  <c r="V33" i="1"/>
  <c r="V17" i="1"/>
  <c r="V9" i="1"/>
  <c r="V48" i="1"/>
  <c r="V40" i="1"/>
  <c r="V32" i="1"/>
  <c r="V16" i="1"/>
  <c r="V8" i="1"/>
  <c r="V47" i="1"/>
  <c r="V39" i="1"/>
  <c r="V31" i="1"/>
  <c r="V15" i="1"/>
  <c r="V7" i="1"/>
  <c r="P2" i="1"/>
  <c r="V46" i="1"/>
  <c r="V30" i="1"/>
  <c r="V6" i="1"/>
  <c r="V45" i="1"/>
  <c r="V37" i="1"/>
  <c r="V29" i="1"/>
  <c r="V21" i="1"/>
  <c r="V13" i="1"/>
  <c r="V5" i="1"/>
  <c r="V44" i="1"/>
  <c r="V36" i="1"/>
  <c r="V28" i="1"/>
  <c r="V20" i="1"/>
  <c r="V12" i="1"/>
  <c r="V50" i="1"/>
  <c r="V42" i="1"/>
  <c r="V34" i="1"/>
  <c r="V26" i="1"/>
  <c r="V18" i="1"/>
  <c r="V10" i="1"/>
  <c r="V2" i="1"/>
  <c r="P44" i="1"/>
  <c r="P51" i="1"/>
  <c r="P43" i="1"/>
  <c r="P35" i="1"/>
  <c r="P27" i="1"/>
  <c r="P19" i="1"/>
  <c r="P11" i="1"/>
  <c r="P3" i="1"/>
  <c r="P49" i="1"/>
  <c r="P41" i="1"/>
  <c r="P33" i="1"/>
  <c r="P32" i="1"/>
  <c r="P16" i="1"/>
  <c r="P8" i="1"/>
  <c r="P47" i="1"/>
  <c r="P28" i="1"/>
  <c r="P20" i="1"/>
  <c r="P17" i="1"/>
  <c r="P9" i="1"/>
  <c r="P36" i="1"/>
  <c r="P12" i="1"/>
  <c r="P4" i="1"/>
  <c r="P25" i="1"/>
  <c r="R25" i="1"/>
  <c r="P24" i="1"/>
  <c r="P23" i="1"/>
  <c r="P48" i="1"/>
  <c r="P7" i="1"/>
  <c r="P38" i="1"/>
  <c r="P22" i="1"/>
  <c r="P14" i="1"/>
  <c r="P31" i="1"/>
  <c r="P45" i="1"/>
  <c r="P37" i="1"/>
  <c r="P29" i="1"/>
  <c r="P21" i="1"/>
  <c r="P13" i="1"/>
  <c r="P5" i="1"/>
  <c r="P40" i="1"/>
  <c r="P15" i="1"/>
  <c r="R24" i="1"/>
  <c r="P39" i="1"/>
  <c r="P50" i="1"/>
  <c r="P42" i="1"/>
  <c r="P34" i="1"/>
  <c r="P26" i="1"/>
  <c r="P18" i="1"/>
  <c r="P10" i="1"/>
  <c r="R23" i="1"/>
  <c r="R38" i="1"/>
  <c r="R22" i="1"/>
  <c r="R14" i="1"/>
  <c r="P46" i="1"/>
  <c r="P30" i="1"/>
  <c r="P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A8A69-BE3B-4521-B0C4-28A63FC569C4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267D2DA7-E971-4CC3-ABBA-A6F6C3E3585B}" keepAlive="1" name="Consulta - Datos_Sucios_Importaciones" description="Conexión a la consulta 'Datos_Sucios_Importaciones' en el libro." type="5" refreshedVersion="8" background="1" saveData="1">
    <dbPr connection="Provider=Microsoft.Mashup.OleDb.1;Data Source=$Workbook$;Location=Datos_Sucios_Importaciones;Extended Properties=&quot;&quot;" command="SELECT * FROM [Datos_Sucios_Importaciones]"/>
  </connection>
  <connection id="3" xr16:uid="{BE8BA538-7916-4CB4-B626-C1AEDA41F4CE}" keepAlive="1" name="Consulta - Importaciones_Mensuales" description="Conexión a la consulta 'Importaciones_Mensuales' en el libro." type="5" refreshedVersion="8" background="1" saveData="1">
    <dbPr connection="Provider=Microsoft.Mashup.OleDb.1;Data Source=$Workbook$;Location=Importaciones_Mensuales;Extended Properties=&quot;&quot;" command="SELECT * FROM [Importaciones_Mensuales]"/>
  </connection>
  <connection id="4" xr16:uid="{30BC7681-8BA1-4ED1-BF2C-0BDB5F16FF09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67D4BCEC-0616-4EFA-B206-5F33EB5B6901}" keepAlive="1" name="Consulta - Tbl_Embarques" description="Conexión a la consulta 'Tbl_Embarques' en el libro." type="5" refreshedVersion="8" background="1" saveData="1">
    <dbPr connection="Provider=Microsoft.Mashup.OleDb.1;Data Source=$Workbook$;Location=Tbl_Embarques;Extended Properties=&quot;&quot;" command="SELECT * FROM [Tbl_Embarques]"/>
  </connection>
  <connection id="6" xr16:uid="{9C1FF84E-9D4B-4F93-BF14-E7EC5A1EDBD2}" keepAlive="1" name="Consulta - Tbl_Embarques (2)" description="Conexión a la consulta 'Tbl_Embarques (2)' en el libro." type="5" refreshedVersion="0" background="1" saveData="1">
    <dbPr connection="Provider=Microsoft.Mashup.OleDb.1;Data Source=$Workbook$;Location=&quot;Tbl_Embarques (2)&quot;;Extended Properties=&quot;&quot;" command="SELECT * FROM [Tbl_Embarques (2)]"/>
  </connection>
  <connection id="7" xr16:uid="{A4EDEBB4-AFE9-499F-9158-9B11C5B30115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8" xr16:uid="{C5DB537C-8A55-4D2E-B45C-4992EAFD0611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<sst xmlns="http://schemas.openxmlformats.org/spreadsheetml/2006/main" count="1008" uniqueCount="128">
  <si>
    <t>Folio</t>
  </si>
  <si>
    <t>Fecha_Embarque</t>
  </si>
  <si>
    <t>Puerto_Origen</t>
  </si>
  <si>
    <t>Pais_Origen</t>
  </si>
  <si>
    <t>Proveedor</t>
  </si>
  <si>
    <t>SKU</t>
  </si>
  <si>
    <t>Cantidad_Pedida</t>
  </si>
  <si>
    <t>Incoterm</t>
  </si>
  <si>
    <t>Fecha_ETA</t>
  </si>
  <si>
    <t>Fecha_Arribo</t>
  </si>
  <si>
    <t>Fecha_Salida</t>
  </si>
  <si>
    <t>Cantidad_Recibida</t>
  </si>
  <si>
    <t>Agente_Aduanal</t>
  </si>
  <si>
    <t>IMP-24001</t>
  </si>
  <si>
    <t>Shanghai</t>
  </si>
  <si>
    <t>China</t>
  </si>
  <si>
    <t>Proveedor A</t>
  </si>
  <si>
    <t>MEZ-100</t>
  </si>
  <si>
    <t>FOB</t>
  </si>
  <si>
    <t>AG01</t>
  </si>
  <si>
    <t>IMP-24002</t>
  </si>
  <si>
    <t>Busan</t>
  </si>
  <si>
    <t>Corea</t>
  </si>
  <si>
    <t>Proveedor B</t>
  </si>
  <si>
    <t>MEZ-101</t>
  </si>
  <si>
    <t>EXW</t>
  </si>
  <si>
    <t>AG02</t>
  </si>
  <si>
    <t>IMP-24003</t>
  </si>
  <si>
    <t>Rotterdam</t>
  </si>
  <si>
    <t>Países Bajos</t>
  </si>
  <si>
    <t>Proveedor C</t>
  </si>
  <si>
    <t>MEZ-200</t>
  </si>
  <si>
    <t>CIF</t>
  </si>
  <si>
    <t>AG03</t>
  </si>
  <si>
    <t>IMP-24004</t>
  </si>
  <si>
    <t>Manzanillo</t>
  </si>
  <si>
    <t>México</t>
  </si>
  <si>
    <t>Proveedor D</t>
  </si>
  <si>
    <t>IMP-300</t>
  </si>
  <si>
    <t>AG04</t>
  </si>
  <si>
    <t>IMP-24005</t>
  </si>
  <si>
    <t>Santos</t>
  </si>
  <si>
    <t>Brasil</t>
  </si>
  <si>
    <t>IMP-301</t>
  </si>
  <si>
    <t>DDP</t>
  </si>
  <si>
    <t>IMP-24006</t>
  </si>
  <si>
    <t>IMP-24007</t>
  </si>
  <si>
    <t>IMP-24008</t>
  </si>
  <si>
    <t>IMP-24009</t>
  </si>
  <si>
    <t>IMP-24010</t>
  </si>
  <si>
    <t>IMP-24011</t>
  </si>
  <si>
    <t>IMP-24012</t>
  </si>
  <si>
    <t>IMP-24013</t>
  </si>
  <si>
    <t>IMP-24014</t>
  </si>
  <si>
    <t>IMP-24015</t>
  </si>
  <si>
    <t>IMP-24016</t>
  </si>
  <si>
    <t>IMP-24017</t>
  </si>
  <si>
    <t>IMP-24018</t>
  </si>
  <si>
    <t>IMP-24019</t>
  </si>
  <si>
    <t>IMP-24020</t>
  </si>
  <si>
    <t>IMP-24021</t>
  </si>
  <si>
    <t>IMP-24022</t>
  </si>
  <si>
    <t>IMP-24023</t>
  </si>
  <si>
    <t>IMP-24024</t>
  </si>
  <si>
    <t>IMP-24025</t>
  </si>
  <si>
    <t>IMP-24026</t>
  </si>
  <si>
    <t>IMP-24027</t>
  </si>
  <si>
    <t>IMP-24028</t>
  </si>
  <si>
    <t>IMP-24029</t>
  </si>
  <si>
    <t>IMP-24030</t>
  </si>
  <si>
    <t>IMP-24031</t>
  </si>
  <si>
    <t>IMP-24032</t>
  </si>
  <si>
    <t>IMP-24033</t>
  </si>
  <si>
    <t>IMP-24034</t>
  </si>
  <si>
    <t>IMP-24035</t>
  </si>
  <si>
    <t>IMP-24036</t>
  </si>
  <si>
    <t>IMP-24037</t>
  </si>
  <si>
    <t>IMP-24038</t>
  </si>
  <si>
    <t>IMP-24039</t>
  </si>
  <si>
    <t>IMP-24040</t>
  </si>
  <si>
    <t>IMP-24041</t>
  </si>
  <si>
    <t>IMP-24042</t>
  </si>
  <si>
    <t>IMP-24043</t>
  </si>
  <si>
    <t>IMP-24044</t>
  </si>
  <si>
    <t>IMP-24045</t>
  </si>
  <si>
    <t>IMP-24046</t>
  </si>
  <si>
    <t>IMP-24047</t>
  </si>
  <si>
    <t>IMP-24048</t>
  </si>
  <si>
    <t>IMP-24049</t>
  </si>
  <si>
    <t>IMP-24050</t>
  </si>
  <si>
    <t>Estatus</t>
  </si>
  <si>
    <t>Dias_Aduana</t>
  </si>
  <si>
    <t>Retraso_Aduana</t>
  </si>
  <si>
    <t>Validacion_Folio</t>
  </si>
  <si>
    <t>Costo_Embarque_USD</t>
  </si>
  <si>
    <t>Cantidad_Recibida_PL</t>
  </si>
  <si>
    <t>Recibido_Segun_PL</t>
  </si>
  <si>
    <t>Discrepancia</t>
  </si>
  <si>
    <t>Estatus_Revision</t>
  </si>
  <si>
    <t>Etiquetas de fila</t>
  </si>
  <si>
    <t>Total general</t>
  </si>
  <si>
    <t>Lead Time promedio por agente aduanal (días)</t>
  </si>
  <si>
    <t>Costo_Demoras_USC</t>
  </si>
  <si>
    <t>Costo de demoras por agente aduanal</t>
  </si>
  <si>
    <t>Etiquetas de columna</t>
  </si>
  <si>
    <t>OK</t>
  </si>
  <si>
    <t>Revisar con proveedor</t>
  </si>
  <si>
    <t>Cuenta de Folio</t>
  </si>
  <si>
    <t>% Discrepancia</t>
  </si>
  <si>
    <t>Retraso</t>
  </si>
  <si>
    <t>SI</t>
  </si>
  <si>
    <t>A Tiempo</t>
  </si>
  <si>
    <t>NO</t>
  </si>
  <si>
    <t>Adelantado</t>
  </si>
  <si>
    <t>Source.Name</t>
  </si>
  <si>
    <t>Fecha</t>
  </si>
  <si>
    <t>Costo</t>
  </si>
  <si>
    <t>Enero_2024.csv</t>
  </si>
  <si>
    <t>Febrero_2024.csv</t>
  </si>
  <si>
    <t>Marzo_2024.csv</t>
  </si>
  <si>
    <t xml:space="preserve"> Fecha_Embarque</t>
  </si>
  <si>
    <t xml:space="preserve"> Puerto</t>
  </si>
  <si>
    <t xml:space="preserve"> Pais</t>
  </si>
  <si>
    <t xml:space="preserve"> SKU</t>
  </si>
  <si>
    <t xml:space="preserve"> Cantidad</t>
  </si>
  <si>
    <t xml:space="preserve"> Costo</t>
  </si>
  <si>
    <t>Puerto_NO_ESPECIFICADO</t>
  </si>
  <si>
    <t>SIN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</si>
</sst>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10" fontId="0" fillId="0" borderId="0" xfId="0" applyNumberFormat="1"/>
  </cellXfs>
  <cellStyles count="2">
    <cellStyle name="Normal" xfId="0" builtinId="0"/>
    <cellStyle name="Porcentaje" xfId="1" builtinId="5"/>
  </cellStyles>
  <dxfs count="34"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[data_product_2.xlsx]Dashboard!TablaDinámica1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Dashboard!$B$4:$B$8</c:f>
              <c:strCache>
                <c:ptCount val="4"/>
                <c:pt idx="0">
                  <c:v>AG04</c:v>
                </c:pt>
                <c:pt idx="1">
                  <c:v>AG03</c:v>
                </c:pt>
                <c:pt idx="2">
                  <c:v>AG01</c:v>
                </c:pt>
                <c:pt idx="3">
                  <c:v>AG02</c:v>
                </c:pt>
              </c:strCache>
            </c:strRef>
          </c:cat>
          <c:val>
            <c:numRef>
              <c:f>Dashboard!$C$4:$C$8</c:f>
              <c:numCache>
                <c:formatCode>General</c:formatCode>
                <c:ptCount val="4"/>
                <c:pt idx="0">
                  <c:v>4</c:v>
                </c:pt>
                <c:pt idx="1">
                  <c:v>4.083333333333333</c:v>
                </c:pt>
                <c:pt idx="2">
                  <c:v>4.384615384615385</c:v>
                </c:pt>
                <c:pt idx="3">
                  <c:v>4.4615384615384617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5-4F5C-80CA-D3D8AA8A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66511"/>
        <c:axId val="97267951"/>
      </c:barChart>
      <c:catAx>
        <c:axId val="9726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267951"/>
        <c:crosses val="autoZero"/>
        <c:auto val="1"/>
        <c:lblAlgn val="ctr"/>
        <c:lblOffset val="100"/>
        <c:noMultiLvlLbl val="0"/>
      </c:catAx>
      <c:valAx>
        <c:axId val="9726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26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[data_product_2.xlsx]Dashboard!TablaDinámica2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4D-4BD5-80C6-6598F6A8C2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4D-4BD5-80C6-6598F6A8C2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4D-4BD5-80C6-6598F6A8C2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4D-4BD5-80C6-6598F6A8C291}"/>
              </c:ext>
            </c:extLst>
          </c:dPt>
          <c:cat>
            <c:strRef>
              <c:f>Dashboard!$B$20:$B$24</c:f>
              <c:strCache>
                <c:ptCount val="4"/>
                <c:pt idx="0">
                  <c:v>AG01</c:v>
                </c:pt>
                <c:pt idx="1">
                  <c:v>AG02</c:v>
                </c:pt>
                <c:pt idx="2">
                  <c:v>AG03</c:v>
                </c:pt>
                <c:pt idx="3">
                  <c:v>AG04</c:v>
                </c:pt>
              </c:strCache>
            </c:strRef>
          </c:cat>
          <c:val>
            <c:numRef>
              <c:f>Dashboard!$C$20:$C$24</c:f>
              <c:numCache>
                <c:formatCode>"$"#,##0.00</c:formatCode>
                <c:ptCount val="4"/>
                <c:pt idx="0">
                  <c:v>1000</c:v>
                </c:pt>
                <c:pt idx="1">
                  <c:v>700</c:v>
                </c:pt>
                <c:pt idx="2">
                  <c:v>400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1-4E6A-8442-DC6FDABE2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[data_product_2.xlsx]Dashboard!TablaDinámica3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Dashboard!$C$34:$C$35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Dashboard!$B$36:$B$40</c:f>
              <c:strCache>
                <c:ptCount val="4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  <c:pt idx="3">
                  <c:v>Proveedor D</c:v>
                </c:pt>
              </c:strCache>
            </c:strRef>
          </c:cat>
          <c:val>
            <c:numRef>
              <c:f>Dashboard!$C$36:$C$40</c:f>
              <c:numCache>
                <c:formatCode>0.00%</c:formatCode>
                <c:ptCount val="4"/>
                <c:pt idx="0">
                  <c:v>0.23076923076923078</c:v>
                </c:pt>
                <c:pt idx="1">
                  <c:v>7.6923076923076927E-2</c:v>
                </c:pt>
                <c:pt idx="2">
                  <c:v>8.3333333333333329E-2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5-4060-957A-5327113C81DE}"/>
            </c:ext>
          </c:extLst>
        </c:ser>
        <c:ser>
          <c:idx val="1"/>
          <c:order val="1"/>
          <c:tx>
            <c:strRef>
              <c:f>Dashboard!$D$34:$D$35</c:f>
              <c:strCache>
                <c:ptCount val="1"/>
                <c:pt idx="0">
                  <c:v>Revisar con proveedor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Dashboard!$B$36:$B$40</c:f>
              <c:strCache>
                <c:ptCount val="4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  <c:pt idx="3">
                  <c:v>Proveedor D</c:v>
                </c:pt>
              </c:strCache>
            </c:strRef>
          </c:cat>
          <c:val>
            <c:numRef>
              <c:f>Dashboard!$D$36:$D$40</c:f>
              <c:numCache>
                <c:formatCode>0.00%</c:formatCode>
                <c:ptCount val="4"/>
                <c:pt idx="0">
                  <c:v>0.76923076923076927</c:v>
                </c:pt>
                <c:pt idx="1">
                  <c:v>0.92307692307692313</c:v>
                </c:pt>
                <c:pt idx="2">
                  <c:v>0.91666666666666663</c:v>
                </c:pt>
                <c:pt idx="3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5-4060-957A-5327113C8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254127"/>
        <c:axId val="213255087"/>
      </c:barChart>
      <c:catAx>
        <c:axId val="21325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55087"/>
        <c:crosses val="autoZero"/>
        <c:auto val="1"/>
        <c:lblAlgn val="ctr"/>
        <c:lblOffset val="100"/>
        <c:noMultiLvlLbl val="0"/>
      </c:catAx>
      <c:valAx>
        <c:axId val="2132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25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[data_product_2.xlsx]Dashboard!TablaDinámica3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Dashboard!$C$34:$C$35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Dashboard!$B$36:$B$40</c:f>
              <c:strCache>
                <c:ptCount val="4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  <c:pt idx="3">
                  <c:v>Proveedor D</c:v>
                </c:pt>
              </c:strCache>
            </c:strRef>
          </c:cat>
          <c:val>
            <c:numRef>
              <c:f>Dashboard!$C$36:$C$40</c:f>
              <c:numCache>
                <c:formatCode>0.00%</c:formatCode>
                <c:ptCount val="4"/>
                <c:pt idx="0">
                  <c:v>0.23076923076923078</c:v>
                </c:pt>
                <c:pt idx="1">
                  <c:v>7.6923076923076927E-2</c:v>
                </c:pt>
                <c:pt idx="2">
                  <c:v>8.3333333333333329E-2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1-4F7B-BF73-C455A46FD606}"/>
            </c:ext>
          </c:extLst>
        </c:ser>
        <c:ser>
          <c:idx val="1"/>
          <c:order val="1"/>
          <c:tx>
            <c:strRef>
              <c:f>Dashboard!$D$34:$D$35</c:f>
              <c:strCache>
                <c:ptCount val="1"/>
                <c:pt idx="0">
                  <c:v>Revisar con proveedor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Dashboard!$B$36:$B$40</c:f>
              <c:strCache>
                <c:ptCount val="4"/>
                <c:pt idx="0">
                  <c:v>Proveedor A</c:v>
                </c:pt>
                <c:pt idx="1">
                  <c:v>Proveedor B</c:v>
                </c:pt>
                <c:pt idx="2">
                  <c:v>Proveedor C</c:v>
                </c:pt>
                <c:pt idx="3">
                  <c:v>Proveedor D</c:v>
                </c:pt>
              </c:strCache>
            </c:strRef>
          </c:cat>
          <c:val>
            <c:numRef>
              <c:f>Dashboard!$D$36:$D$40</c:f>
              <c:numCache>
                <c:formatCode>0.00%</c:formatCode>
                <c:ptCount val="4"/>
                <c:pt idx="0">
                  <c:v>0.76923076923076927</c:v>
                </c:pt>
                <c:pt idx="1">
                  <c:v>0.92307692307692313</c:v>
                </c:pt>
                <c:pt idx="2">
                  <c:v>0.91666666666666663</c:v>
                </c:pt>
                <c:pt idx="3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1-4F7B-BF73-C455A46FD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650255"/>
        <c:axId val="211650735"/>
      </c:barChart>
      <c:catAx>
        <c:axId val="21165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650735"/>
        <c:crosses val="autoZero"/>
        <c:auto val="1"/>
        <c:lblAlgn val="ctr"/>
        <c:lblOffset val="100"/>
        <c:noMultiLvlLbl val="0"/>
      </c:catAx>
      <c:valAx>
        <c:axId val="2116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65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</xdr:row>
      <xdr:rowOff>180975</xdr:rowOff>
    </xdr:from>
    <xdr:to>
      <xdr:col>11</xdr:col>
      <xdr:colOff>542925</xdr:colOff>
      <xdr:row>15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5F2374-7453-7C8E-3F15-297B98198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17</xdr:row>
      <xdr:rowOff>190500</xdr:rowOff>
    </xdr:from>
    <xdr:to>
      <xdr:col>8</xdr:col>
      <xdr:colOff>685800</xdr:colOff>
      <xdr:row>31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8D2CFF-4737-3656-20F1-817470F96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33</xdr:row>
      <xdr:rowOff>9525</xdr:rowOff>
    </xdr:from>
    <xdr:to>
      <xdr:col>11</xdr:col>
      <xdr:colOff>628650</xdr:colOff>
      <xdr:row>46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C3A2E1-3A21-7966-3E85-EA0E8E00B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409575</xdr:colOff>
      <xdr:row>41</xdr:row>
      <xdr:rowOff>9525</xdr:rowOff>
    </xdr:from>
    <xdr:to>
      <xdr:col>6</xdr:col>
      <xdr:colOff>104775</xdr:colOff>
      <xdr:row>54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E63D8D-2F18-91A7-6CB1-5FCA50066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Angel Gutiérrez Delgado" refreshedDate="46067.236095023145" createdVersion="8" refreshedVersion="8" minRefreshableVersion="3" recordCount="50" xr:uid="{30361D4A-4BDF-44FA-BB92-FEFDAD3BE94A}">
  <cacheSource type="worksheet">
    <worksheetSource name="Tbl_Embarques"/>
  </cacheSource>
  <cacheFields count="22">
    <cacheField name="Folio" numFmtId="0">
      <sharedItems/>
    </cacheField>
    <cacheField name="Fecha_Embarque" numFmtId="14">
      <sharedItems containsSemiMixedTypes="0" containsNonDate="0" containsDate="1" containsString="0" minDate="2024-02-01T00:00:00" maxDate="2024-03-03T00:00:00"/>
    </cacheField>
    <cacheField name="Puerto_Origen" numFmtId="0">
      <sharedItems/>
    </cacheField>
    <cacheField name="Pais_Origen" numFmtId="0">
      <sharedItems/>
    </cacheField>
    <cacheField name="Proveedor" numFmtId="0">
      <sharedItems count="4">
        <s v="Proveedor A"/>
        <s v="Proveedor B"/>
        <s v="Proveedor C"/>
        <s v="Proveedor D"/>
      </sharedItems>
    </cacheField>
    <cacheField name="SKU" numFmtId="0">
      <sharedItems/>
    </cacheField>
    <cacheField name="Cantidad_Pedida" numFmtId="0">
      <sharedItems containsSemiMixedTypes="0" containsString="0" containsNumber="1" containsInteger="1" minValue="500" maxValue="3200"/>
    </cacheField>
    <cacheField name="Cantidad_Recibida" numFmtId="0">
      <sharedItems containsSemiMixedTypes="0" containsString="0" containsNumber="1" containsInteger="1" minValue="500" maxValue="3000"/>
    </cacheField>
    <cacheField name="Incoterm" numFmtId="0">
      <sharedItems/>
    </cacheField>
    <cacheField name="Fecha_ETA" numFmtId="14">
      <sharedItems containsSemiMixedTypes="0" containsNonDate="0" containsDate="1" containsString="0" minDate="2024-02-10T00:00:00" maxDate="2024-03-23T00:00:00"/>
    </cacheField>
    <cacheField name="Fecha_Arribo" numFmtId="14">
      <sharedItems containsSemiMixedTypes="0" containsNonDate="0" containsDate="1" containsString="0" minDate="2024-02-10T00:00:00" maxDate="2024-03-27T00:00:00"/>
    </cacheField>
    <cacheField name="Fecha_Salida" numFmtId="14">
      <sharedItems containsSemiMixedTypes="0" containsNonDate="0" containsDate="1" containsString="0" minDate="2024-02-12T00:00:00" maxDate="2024-04-03T00:00:00"/>
    </cacheField>
    <cacheField name="Agente_Aduanal" numFmtId="0">
      <sharedItems count="4">
        <s v="AG01"/>
        <s v="AG02"/>
        <s v="AG03"/>
        <s v="AG04"/>
      </sharedItems>
    </cacheField>
    <cacheField name="Estatus" numFmtId="0">
      <sharedItems/>
    </cacheField>
    <cacheField name="Dias_Aduana" numFmtId="0">
      <sharedItems containsSemiMixedTypes="0" containsString="0" containsNumber="1" containsInteger="1" minValue="2" maxValue="11"/>
    </cacheField>
    <cacheField name="Retraso_Aduana" numFmtId="0">
      <sharedItems/>
    </cacheField>
    <cacheField name="Validacion_Folio" numFmtId="0">
      <sharedItems containsSemiMixedTypes="0" containsString="0" containsNumber="1" containsInteger="1" minValue="9" maxValue="9"/>
    </cacheField>
    <cacheField name="Costo_Embarque_USD" numFmtId="0">
      <sharedItems containsSemiMixedTypes="0" containsString="0" containsNumber="1" containsInteger="1" minValue="2700" maxValue="16400"/>
    </cacheField>
    <cacheField name="Recibido_Segun_PL" numFmtId="0">
      <sharedItems containsSemiMixedTypes="0" containsString="0" containsNumber="1" containsInteger="1" minValue="500" maxValue="3000"/>
    </cacheField>
    <cacheField name="Discrepancia" numFmtId="0">
      <sharedItems containsSemiMixedTypes="0" containsString="0" containsNumber="1" containsInteger="1" minValue="-1200" maxValue="1500"/>
    </cacheField>
    <cacheField name="Estatus_Revision" numFmtId="0">
      <sharedItems count="2">
        <s v="OK"/>
        <s v="Revisar con proveedor"/>
      </sharedItems>
    </cacheField>
    <cacheField name="Costo_Demoras_USC" numFmtId="0">
      <sharedItems containsSemiMixedTypes="0" containsString="0" containsNumber="1" containsInteger="1" minValue="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IMP-24001"/>
    <d v="2024-02-01T00:00:00"/>
    <s v="Shanghai"/>
    <s v="China"/>
    <x v="0"/>
    <s v="MEZ-100"/>
    <n v="1000"/>
    <n v="1000"/>
    <s v="FOB"/>
    <d v="2024-02-16T00:00:00"/>
    <d v="2024-02-18T00:00:00"/>
    <d v="2024-02-22T00:00:00"/>
    <x v="0"/>
    <s v="Retraso"/>
    <n v="4"/>
    <s v="SI"/>
    <n v="9"/>
    <n v="5200"/>
    <n v="1000"/>
    <n v="0"/>
    <x v="0"/>
    <n v="0"/>
  </r>
  <r>
    <s v="IMP-24002"/>
    <d v="2024-02-02T00:00:00"/>
    <s v="Busan"/>
    <s v="Corea"/>
    <x v="1"/>
    <s v="MEZ-101"/>
    <n v="2500"/>
    <n v="2500"/>
    <s v="EXW"/>
    <d v="2024-02-22T00:00:00"/>
    <d v="2024-02-22T00:00:00"/>
    <d v="2024-02-25T00:00:00"/>
    <x v="1"/>
    <s v="A Tiempo"/>
    <n v="3"/>
    <s v="NO"/>
    <n v="9"/>
    <n v="12650"/>
    <n v="2500"/>
    <n v="0"/>
    <x v="0"/>
    <n v="0"/>
  </r>
  <r>
    <s v="IMP-24003"/>
    <d v="2024-02-03T00:00:00"/>
    <s v="Rotterdam"/>
    <s v="Países Bajos"/>
    <x v="2"/>
    <s v="MEZ-200"/>
    <n v="500"/>
    <n v="500"/>
    <s v="CIF"/>
    <d v="2024-02-25T00:00:00"/>
    <d v="2024-02-26T00:00:00"/>
    <d v="2024-03-01T00:00:00"/>
    <x v="2"/>
    <s v="Retraso"/>
    <n v="4"/>
    <s v="SI"/>
    <n v="9"/>
    <n v="2700"/>
    <n v="500"/>
    <n v="0"/>
    <x v="0"/>
    <n v="0"/>
  </r>
  <r>
    <s v="IMP-24004"/>
    <d v="2024-02-03T00:00:00"/>
    <s v="Manzanillo"/>
    <s v="México"/>
    <x v="3"/>
    <s v="IMP-300"/>
    <n v="1200"/>
    <n v="1150"/>
    <s v="FOB"/>
    <d v="2024-02-10T00:00:00"/>
    <d v="2024-02-10T00:00:00"/>
    <d v="2024-02-12T00:00:00"/>
    <x v="3"/>
    <s v="A Tiempo"/>
    <n v="2"/>
    <s v="NO"/>
    <n v="9"/>
    <n v="6100"/>
    <n v="1150"/>
    <n v="0"/>
    <x v="0"/>
    <n v="0"/>
  </r>
  <r>
    <s v="IMP-24005"/>
    <d v="2024-02-04T00:00:00"/>
    <s v="Santos"/>
    <s v="Brasil"/>
    <x v="0"/>
    <s v="IMP-301"/>
    <n v="3000"/>
    <n v="3000"/>
    <s v="DDP"/>
    <d v="2024-02-26T00:00:00"/>
    <d v="2024-02-23T00:00:00"/>
    <d v="2024-03-05T00:00:00"/>
    <x v="0"/>
    <s v="Adelantado"/>
    <n v="11"/>
    <s v="NO"/>
    <n v="9"/>
    <n v="15550"/>
    <n v="3000"/>
    <n v="0"/>
    <x v="0"/>
    <n v="600"/>
  </r>
  <r>
    <s v="IMP-24006"/>
    <d v="2024-02-05T00:00:00"/>
    <s v="Shanghai"/>
    <s v="China"/>
    <x v="1"/>
    <s v="MEZ-100"/>
    <n v="800"/>
    <n v="800"/>
    <s v="FOB"/>
    <d v="2024-02-20T00:00:00"/>
    <d v="2024-02-22T00:00:00"/>
    <d v="2024-02-26T00:00:00"/>
    <x v="1"/>
    <s v="Retraso"/>
    <n v="4"/>
    <s v="SI"/>
    <n v="9"/>
    <n v="4200"/>
    <n v="1000"/>
    <n v="-200"/>
    <x v="1"/>
    <n v="0"/>
  </r>
  <r>
    <s v="IMP-24007"/>
    <d v="2024-02-05T00:00:00"/>
    <s v="Busan"/>
    <s v="Corea"/>
    <x v="2"/>
    <s v="MEZ-101"/>
    <n v="1500"/>
    <n v="1400"/>
    <s v="EXW"/>
    <d v="2024-02-25T00:00:00"/>
    <d v="2024-02-26T00:00:00"/>
    <d v="2024-03-01T00:00:00"/>
    <x v="2"/>
    <s v="Retraso"/>
    <n v="4"/>
    <s v="SI"/>
    <n v="9"/>
    <n v="7700"/>
    <n v="2500"/>
    <n v="-1100"/>
    <x v="1"/>
    <n v="0"/>
  </r>
  <r>
    <s v="IMP-24008"/>
    <d v="2024-02-06T00:00:00"/>
    <s v="Rotterdam"/>
    <s v="Países Bajos"/>
    <x v="3"/>
    <s v="MEZ-200"/>
    <n v="2000"/>
    <n v="2000"/>
    <s v="CIF"/>
    <d v="2024-02-28T00:00:00"/>
    <d v="2024-02-28T00:00:00"/>
    <d v="2024-03-03T00:00:00"/>
    <x v="3"/>
    <s v="A Tiempo"/>
    <n v="4"/>
    <s v="NO"/>
    <n v="9"/>
    <n v="10200"/>
    <n v="500"/>
    <n v="1500"/>
    <x v="1"/>
    <n v="0"/>
  </r>
  <r>
    <s v="IMP-24009"/>
    <d v="2024-02-07T00:00:00"/>
    <s v="Manzanillo"/>
    <s v="México"/>
    <x v="0"/>
    <s v="IMP-300"/>
    <n v="900"/>
    <n v="900"/>
    <s v="FOB"/>
    <d v="2024-02-14T00:00:00"/>
    <d v="2024-02-15T00:00:00"/>
    <d v="2024-02-17T00:00:00"/>
    <x v="0"/>
    <s v="Retraso"/>
    <n v="2"/>
    <s v="NO"/>
    <n v="9"/>
    <n v="4600"/>
    <n v="1150"/>
    <n v="-250"/>
    <x v="1"/>
    <n v="0"/>
  </r>
  <r>
    <s v="IMP-24010"/>
    <d v="2024-02-07T00:00:00"/>
    <s v="Santos"/>
    <s v="Brasil"/>
    <x v="1"/>
    <s v="IMP-301"/>
    <n v="2500"/>
    <n v="2300"/>
    <s v="DDP"/>
    <d v="2024-02-29T00:00:00"/>
    <d v="2024-03-03T00:00:00"/>
    <d v="2024-03-10T00:00:00"/>
    <x v="1"/>
    <s v="Retraso"/>
    <n v="7"/>
    <s v="SI"/>
    <n v="9"/>
    <n v="12850"/>
    <n v="3000"/>
    <n v="-700"/>
    <x v="1"/>
    <n v="200"/>
  </r>
  <r>
    <s v="IMP-24011"/>
    <d v="2024-02-08T00:00:00"/>
    <s v="Shanghai"/>
    <s v="China"/>
    <x v="2"/>
    <s v="MEZ-100"/>
    <n v="1200"/>
    <n v="1200"/>
    <s v="FOB"/>
    <d v="2024-02-23T00:00:00"/>
    <d v="2024-02-23T00:00:00"/>
    <d v="2024-02-27T00:00:00"/>
    <x v="2"/>
    <s v="A Tiempo"/>
    <n v="4"/>
    <s v="NO"/>
    <n v="9"/>
    <n v="6200"/>
    <n v="1000"/>
    <n v="200"/>
    <x v="1"/>
    <n v="0"/>
  </r>
  <r>
    <s v="IMP-24012"/>
    <d v="2024-02-08T00:00:00"/>
    <s v="Busan"/>
    <s v="Corea"/>
    <x v="3"/>
    <s v="MEZ-101"/>
    <n v="1800"/>
    <n v="1800"/>
    <s v="EXW"/>
    <d v="2024-02-28T00:00:00"/>
    <d v="2024-02-28T00:00:00"/>
    <d v="2024-03-03T00:00:00"/>
    <x v="3"/>
    <s v="A Tiempo"/>
    <n v="4"/>
    <s v="NO"/>
    <n v="9"/>
    <n v="9200"/>
    <n v="2500"/>
    <n v="-700"/>
    <x v="1"/>
    <n v="0"/>
  </r>
  <r>
    <s v="IMP-24013"/>
    <d v="2024-02-09T00:00:00"/>
    <s v="Rotterdam"/>
    <s v="Países Bajos"/>
    <x v="0"/>
    <s v="MEZ-200"/>
    <n v="600"/>
    <n v="600"/>
    <s v="CIF"/>
    <d v="2024-03-01T00:00:00"/>
    <d v="2024-03-03T00:00:00"/>
    <d v="2024-03-06T00:00:00"/>
    <x v="0"/>
    <s v="Retraso"/>
    <n v="3"/>
    <s v="NO"/>
    <n v="9"/>
    <n v="3150"/>
    <n v="500"/>
    <n v="100"/>
    <x v="1"/>
    <n v="0"/>
  </r>
  <r>
    <s v="IMP-24014"/>
    <d v="2024-02-10T00:00:00"/>
    <s v="Manzanillo"/>
    <s v="México"/>
    <x v="1"/>
    <s v="IMP-300"/>
    <n v="2000"/>
    <n v="1950"/>
    <s v="FOB"/>
    <d v="2024-02-17T00:00:00"/>
    <d v="2024-02-17T00:00:00"/>
    <d v="2024-02-20T00:00:00"/>
    <x v="1"/>
    <s v="A Tiempo"/>
    <n v="3"/>
    <s v="NO"/>
    <n v="9"/>
    <n v="10150"/>
    <n v="1150"/>
    <n v="800"/>
    <x v="1"/>
    <n v="0"/>
  </r>
  <r>
    <s v="IMP-24015"/>
    <d v="2024-02-10T00:00:00"/>
    <s v="Santos"/>
    <s v="Brasil"/>
    <x v="2"/>
    <s v="IMP-301"/>
    <n v="1800"/>
    <n v="1800"/>
    <s v="DDP"/>
    <d v="2024-03-02T00:00:00"/>
    <d v="2024-03-05T00:00:00"/>
    <d v="2024-03-12T00:00:00"/>
    <x v="2"/>
    <s v="Retraso"/>
    <n v="7"/>
    <s v="SI"/>
    <n v="9"/>
    <n v="9350"/>
    <n v="3000"/>
    <n v="-1200"/>
    <x v="1"/>
    <n v="200"/>
  </r>
  <r>
    <s v="IMP-24016"/>
    <d v="2024-02-11T00:00:00"/>
    <s v="Shanghai"/>
    <s v="China"/>
    <x v="3"/>
    <s v="MEZ-100"/>
    <n v="1500"/>
    <n v="1500"/>
    <s v="FOB"/>
    <d v="2024-02-26T00:00:00"/>
    <d v="2024-02-27T00:00:00"/>
    <d v="2024-03-03T00:00:00"/>
    <x v="3"/>
    <s v="Retraso"/>
    <n v="5"/>
    <s v="SI"/>
    <n v="9"/>
    <n v="7750"/>
    <n v="1000"/>
    <n v="500"/>
    <x v="1"/>
    <n v="0"/>
  </r>
  <r>
    <s v="IMP-24017"/>
    <d v="2024-02-11T00:00:00"/>
    <s v="Busan"/>
    <s v="Corea"/>
    <x v="0"/>
    <s v="MEZ-101"/>
    <n v="2200"/>
    <n v="2150"/>
    <s v="EXW"/>
    <d v="2024-03-01T00:00:00"/>
    <d v="2024-03-01T00:00:00"/>
    <d v="2024-03-05T00:00:00"/>
    <x v="0"/>
    <s v="A Tiempo"/>
    <n v="4"/>
    <s v="NO"/>
    <n v="9"/>
    <n v="11200"/>
    <n v="2500"/>
    <n v="-350"/>
    <x v="1"/>
    <n v="0"/>
  </r>
  <r>
    <s v="IMP-24018"/>
    <d v="2024-02-12T00:00:00"/>
    <s v="Rotterdam"/>
    <s v="Países Bajos"/>
    <x v="1"/>
    <s v="MEZ-200"/>
    <n v="900"/>
    <n v="900"/>
    <s v="CIF"/>
    <d v="2024-03-04T00:00:00"/>
    <d v="2024-03-03T00:00:00"/>
    <d v="2024-03-08T00:00:00"/>
    <x v="1"/>
    <s v="Adelantado"/>
    <n v="5"/>
    <s v="NO"/>
    <n v="9"/>
    <n v="4750"/>
    <n v="500"/>
    <n v="400"/>
    <x v="1"/>
    <n v="0"/>
  </r>
  <r>
    <s v="IMP-24019"/>
    <d v="2024-02-13T00:00:00"/>
    <s v="Manzanillo"/>
    <s v="México"/>
    <x v="2"/>
    <s v="IMP-300"/>
    <n v="700"/>
    <n v="700"/>
    <s v="FOB"/>
    <d v="2024-02-20T00:00:00"/>
    <d v="2024-02-20T00:00:00"/>
    <d v="2024-02-22T00:00:00"/>
    <x v="2"/>
    <s v="A Tiempo"/>
    <n v="2"/>
    <s v="NO"/>
    <n v="9"/>
    <n v="3600"/>
    <n v="1150"/>
    <n v="-450"/>
    <x v="1"/>
    <n v="0"/>
  </r>
  <r>
    <s v="IMP-24020"/>
    <d v="2024-02-13T00:00:00"/>
    <s v="Santos"/>
    <s v="Brasil"/>
    <x v="3"/>
    <s v="IMP-301"/>
    <n v="3200"/>
    <n v="3000"/>
    <s v="DDP"/>
    <d v="2024-03-05T00:00:00"/>
    <d v="2024-03-07T00:00:00"/>
    <d v="2024-03-15T00:00:00"/>
    <x v="3"/>
    <s v="Retraso"/>
    <n v="8"/>
    <s v="SI"/>
    <n v="9"/>
    <n v="16400"/>
    <n v="3000"/>
    <n v="0"/>
    <x v="0"/>
    <n v="300"/>
  </r>
  <r>
    <s v="IMP-24021"/>
    <d v="2024-02-14T00:00:00"/>
    <s v="Shanghai"/>
    <s v="China"/>
    <x v="0"/>
    <s v="MEZ-100"/>
    <n v="950"/>
    <n v="950"/>
    <s v="FOB"/>
    <d v="2024-02-29T00:00:00"/>
    <d v="2024-03-01T00:00:00"/>
    <d v="2024-03-05T00:00:00"/>
    <x v="0"/>
    <s v="Retraso"/>
    <n v="4"/>
    <s v="SI"/>
    <n v="9"/>
    <n v="4950"/>
    <n v="1000"/>
    <n v="-50"/>
    <x v="1"/>
    <n v="0"/>
  </r>
  <r>
    <s v="IMP-24022"/>
    <d v="2024-02-14T00:00:00"/>
    <s v="Busan"/>
    <s v="Corea"/>
    <x v="1"/>
    <s v="MEZ-101"/>
    <n v="2700"/>
    <n v="2700"/>
    <s v="EXW"/>
    <d v="2024-03-04T00:00:00"/>
    <d v="2024-03-05T00:00:00"/>
    <d v="2024-03-09T00:00:00"/>
    <x v="1"/>
    <s v="Retraso"/>
    <n v="4"/>
    <s v="SI"/>
    <n v="9"/>
    <n v="13700"/>
    <n v="2500"/>
    <n v="200"/>
    <x v="1"/>
    <n v="0"/>
  </r>
  <r>
    <s v="IMP-24023"/>
    <d v="2024-02-15T00:00:00"/>
    <s v="Rotterdam"/>
    <s v="Países Bajos"/>
    <x v="2"/>
    <s v="MEZ-200"/>
    <n v="1100"/>
    <n v="1100"/>
    <s v="CIF"/>
    <d v="2024-03-07T00:00:00"/>
    <d v="2024-03-07T00:00:00"/>
    <d v="2024-03-11T00:00:00"/>
    <x v="2"/>
    <s v="A Tiempo"/>
    <n v="4"/>
    <s v="NO"/>
    <n v="9"/>
    <n v="5700"/>
    <n v="500"/>
    <n v="600"/>
    <x v="1"/>
    <n v="0"/>
  </r>
  <r>
    <s v="IMP-24024"/>
    <d v="2024-02-16T00:00:00"/>
    <s v="Manzanillo"/>
    <s v="México"/>
    <x v="3"/>
    <s v="IMP-300"/>
    <n v="850"/>
    <n v="800"/>
    <s v="FOB"/>
    <d v="2024-02-23T00:00:00"/>
    <d v="2024-02-23T00:00:00"/>
    <d v="2024-02-25T00:00:00"/>
    <x v="3"/>
    <s v="A Tiempo"/>
    <n v="2"/>
    <s v="NO"/>
    <n v="9"/>
    <n v="4350"/>
    <n v="1150"/>
    <n v="-350"/>
    <x v="1"/>
    <n v="0"/>
  </r>
  <r>
    <s v="IMP-24025"/>
    <d v="2024-02-16T00:00:00"/>
    <s v="Santos"/>
    <s v="Brasil"/>
    <x v="0"/>
    <s v="IMP-301"/>
    <n v="2800"/>
    <n v="2800"/>
    <s v="DDP"/>
    <d v="2024-03-08T00:00:00"/>
    <d v="2024-03-12T00:00:00"/>
    <d v="2024-03-19T00:00:00"/>
    <x v="0"/>
    <s v="Retraso"/>
    <n v="7"/>
    <s v="SI"/>
    <n v="9"/>
    <n v="14350"/>
    <n v="3000"/>
    <n v="-200"/>
    <x v="1"/>
    <n v="200"/>
  </r>
  <r>
    <s v="IMP-24026"/>
    <d v="2024-02-17T00:00:00"/>
    <s v="Shanghai"/>
    <s v="China"/>
    <x v="1"/>
    <s v="MEZ-100"/>
    <n v="1300"/>
    <n v="1250"/>
    <s v="FOB"/>
    <d v="2024-03-03T00:00:00"/>
    <d v="2024-03-04T00:00:00"/>
    <d v="2024-03-08T00:00:00"/>
    <x v="1"/>
    <s v="Retraso"/>
    <n v="4"/>
    <s v="SI"/>
    <n v="9"/>
    <n v="6700"/>
    <n v="1000"/>
    <n v="250"/>
    <x v="1"/>
    <n v="0"/>
  </r>
  <r>
    <s v="IMP-24027"/>
    <d v="2024-02-17T00:00:00"/>
    <s v="Busan"/>
    <s v="Corea"/>
    <x v="2"/>
    <s v="MEZ-101"/>
    <n v="1900"/>
    <n v="1900"/>
    <s v="EXW"/>
    <d v="2024-03-03T00:00:00"/>
    <d v="2024-03-03T00:00:00"/>
    <d v="2024-03-07T00:00:00"/>
    <x v="2"/>
    <s v="A Tiempo"/>
    <n v="4"/>
    <s v="NO"/>
    <n v="9"/>
    <n v="9700"/>
    <n v="2500"/>
    <n v="-600"/>
    <x v="1"/>
    <n v="0"/>
  </r>
  <r>
    <s v="IMP-24028"/>
    <d v="2024-02-18T00:00:00"/>
    <s v="Rotterdam"/>
    <s v="Países Bajos"/>
    <x v="3"/>
    <s v="MEZ-200"/>
    <n v="750"/>
    <n v="750"/>
    <s v="CIF"/>
    <d v="2024-03-09T00:00:00"/>
    <d v="2024-03-11T00:00:00"/>
    <d v="2024-03-14T00:00:00"/>
    <x v="3"/>
    <s v="Retraso"/>
    <n v="3"/>
    <s v="NO"/>
    <n v="9"/>
    <n v="3900"/>
    <n v="500"/>
    <n v="250"/>
    <x v="1"/>
    <n v="0"/>
  </r>
  <r>
    <s v="IMP-24029"/>
    <d v="2024-02-19T00:00:00"/>
    <s v="Manzanillo"/>
    <s v="México"/>
    <x v="0"/>
    <s v="IMP-300"/>
    <n v="1600"/>
    <n v="1550"/>
    <s v="FOB"/>
    <d v="2024-02-26T00:00:00"/>
    <d v="2024-02-26T00:00:00"/>
    <d v="2024-02-28T00:00:00"/>
    <x v="0"/>
    <s v="A Tiempo"/>
    <n v="2"/>
    <s v="NO"/>
    <n v="9"/>
    <n v="8100"/>
    <n v="1150"/>
    <n v="400"/>
    <x v="1"/>
    <n v="0"/>
  </r>
  <r>
    <s v="IMP-24030"/>
    <d v="2024-02-19T00:00:00"/>
    <s v="Santos"/>
    <s v="Brasil"/>
    <x v="1"/>
    <s v="IMP-301"/>
    <n v="2100"/>
    <n v="2000"/>
    <s v="DDP"/>
    <d v="2024-03-11T00:00:00"/>
    <d v="2024-03-14T00:00:00"/>
    <d v="2024-03-22T00:00:00"/>
    <x v="1"/>
    <s v="Retraso"/>
    <n v="8"/>
    <s v="SI"/>
    <n v="9"/>
    <n v="10900"/>
    <n v="3000"/>
    <n v="-1000"/>
    <x v="1"/>
    <n v="300"/>
  </r>
  <r>
    <s v="IMP-24031"/>
    <d v="2024-02-20T00:00:00"/>
    <s v="Shanghai"/>
    <s v="China"/>
    <x v="2"/>
    <s v="MEZ-100"/>
    <n v="1400"/>
    <n v="1400"/>
    <s v="FOB"/>
    <d v="2024-03-06T00:00:00"/>
    <d v="2024-03-06T00:00:00"/>
    <d v="2024-03-10T00:00:00"/>
    <x v="2"/>
    <s v="A Tiempo"/>
    <n v="4"/>
    <s v="NO"/>
    <n v="9"/>
    <n v="7200"/>
    <n v="1000"/>
    <n v="400"/>
    <x v="1"/>
    <n v="0"/>
  </r>
  <r>
    <s v="IMP-24032"/>
    <d v="2024-02-20T00:00:00"/>
    <s v="Busan"/>
    <s v="Corea"/>
    <x v="3"/>
    <s v="MEZ-101"/>
    <n v="2300"/>
    <n v="2300"/>
    <s v="EXW"/>
    <d v="2024-03-06T00:00:00"/>
    <d v="2024-03-06T00:00:00"/>
    <d v="2024-03-10T00:00:00"/>
    <x v="3"/>
    <s v="A Tiempo"/>
    <n v="4"/>
    <s v="NO"/>
    <n v="9"/>
    <n v="11700"/>
    <n v="2500"/>
    <n v="-200"/>
    <x v="1"/>
    <n v="0"/>
  </r>
  <r>
    <s v="IMP-24033"/>
    <d v="2024-02-21T00:00:00"/>
    <s v="Rotterdam"/>
    <s v="Países Bajos"/>
    <x v="0"/>
    <s v="MEZ-200"/>
    <n v="1050"/>
    <n v="1050"/>
    <s v="CIF"/>
    <d v="2024-03-12T00:00:00"/>
    <d v="2024-03-14T00:00:00"/>
    <d v="2024-03-17T00:00:00"/>
    <x v="0"/>
    <s v="Retraso"/>
    <n v="3"/>
    <s v="NO"/>
    <n v="9"/>
    <n v="5400"/>
    <n v="500"/>
    <n v="550"/>
    <x v="1"/>
    <n v="0"/>
  </r>
  <r>
    <s v="IMP-24034"/>
    <d v="2024-02-22T00:00:00"/>
    <s v="Manzanillo"/>
    <s v="México"/>
    <x v="1"/>
    <s v="IMP-300"/>
    <n v="950"/>
    <n v="900"/>
    <s v="FOB"/>
    <d v="2024-03-01T00:00:00"/>
    <d v="2024-03-01T00:00:00"/>
    <d v="2024-03-03T00:00:00"/>
    <x v="1"/>
    <s v="A Tiempo"/>
    <n v="2"/>
    <s v="NO"/>
    <n v="9"/>
    <n v="4850"/>
    <n v="1150"/>
    <n v="-250"/>
    <x v="1"/>
    <n v="0"/>
  </r>
  <r>
    <s v="IMP-24035"/>
    <d v="2024-02-22T00:00:00"/>
    <s v="Santos"/>
    <s v="Brasil"/>
    <x v="2"/>
    <s v="IMP-301"/>
    <n v="2600"/>
    <n v="2600"/>
    <s v="DDP"/>
    <d v="2024-03-14T00:00:00"/>
    <d v="2024-03-17T00:00:00"/>
    <d v="2024-03-24T00:00:00"/>
    <x v="2"/>
    <s v="Retraso"/>
    <n v="7"/>
    <s v="SI"/>
    <n v="9"/>
    <n v="13350"/>
    <n v="3000"/>
    <n v="-400"/>
    <x v="1"/>
    <n v="200"/>
  </r>
  <r>
    <s v="IMP-24036"/>
    <d v="2024-02-23T00:00:00"/>
    <s v="Shanghai"/>
    <s v="China"/>
    <x v="3"/>
    <s v="MEZ-100"/>
    <n v="1100"/>
    <n v="1100"/>
    <s v="FOB"/>
    <d v="2024-03-09T00:00:00"/>
    <d v="2024-03-09T00:00:00"/>
    <d v="2024-03-13T00:00:00"/>
    <x v="3"/>
    <s v="A Tiempo"/>
    <n v="4"/>
    <s v="NO"/>
    <n v="9"/>
    <n v="5700"/>
    <n v="1000"/>
    <n v="100"/>
    <x v="1"/>
    <n v="0"/>
  </r>
  <r>
    <s v="IMP-24037"/>
    <d v="2024-02-23T00:00:00"/>
    <s v="Busan"/>
    <s v="Corea"/>
    <x v="0"/>
    <s v="MEZ-101"/>
    <n v="2000"/>
    <n v="1950"/>
    <s v="EXW"/>
    <d v="2024-03-09T00:00:00"/>
    <d v="2024-03-10T00:00:00"/>
    <d v="2024-03-14T00:00:00"/>
    <x v="0"/>
    <s v="Retraso"/>
    <n v="4"/>
    <s v="SI"/>
    <n v="9"/>
    <n v="10200"/>
    <n v="2500"/>
    <n v="-550"/>
    <x v="1"/>
    <n v="0"/>
  </r>
  <r>
    <s v="IMP-24038"/>
    <d v="2024-02-24T00:00:00"/>
    <s v="Rotterdam"/>
    <s v="Países Bajos"/>
    <x v="1"/>
    <s v="MEZ-200"/>
    <n v="650"/>
    <n v="650"/>
    <s v="CIF"/>
    <d v="2024-03-15T00:00:00"/>
    <d v="2024-03-16T00:00:00"/>
    <d v="2024-03-19T00:00:00"/>
    <x v="1"/>
    <s v="Retraso"/>
    <n v="3"/>
    <s v="NO"/>
    <n v="9"/>
    <n v="3400"/>
    <n v="500"/>
    <n v="150"/>
    <x v="1"/>
    <n v="0"/>
  </r>
  <r>
    <s v="IMP-24039"/>
    <d v="2024-02-25T00:00:00"/>
    <s v="Manzanillo"/>
    <s v="México"/>
    <x v="2"/>
    <s v="IMP-300"/>
    <n v="1750"/>
    <n v="1700"/>
    <s v="FOB"/>
    <d v="2024-03-04T00:00:00"/>
    <d v="2024-03-04T00:00:00"/>
    <d v="2024-03-06T00:00:00"/>
    <x v="2"/>
    <s v="A Tiempo"/>
    <n v="2"/>
    <s v="NO"/>
    <n v="9"/>
    <n v="8850"/>
    <n v="1150"/>
    <n v="550"/>
    <x v="1"/>
    <n v="0"/>
  </r>
  <r>
    <s v="IMP-24040"/>
    <d v="2024-02-25T00:00:00"/>
    <s v="Santos"/>
    <s v="Brasil"/>
    <x v="3"/>
    <s v="IMP-301"/>
    <n v="2900"/>
    <n v="2900"/>
    <s v="DDP"/>
    <d v="2024-03-17T00:00:00"/>
    <d v="2024-03-19T00:00:00"/>
    <d v="2024-03-26T00:00:00"/>
    <x v="3"/>
    <s v="Retraso"/>
    <n v="7"/>
    <s v="SI"/>
    <n v="9"/>
    <n v="14850"/>
    <n v="3000"/>
    <n v="-100"/>
    <x v="1"/>
    <n v="200"/>
  </r>
  <r>
    <s v="IMP-24041"/>
    <d v="2024-02-26T00:00:00"/>
    <s v="Shanghai"/>
    <s v="China"/>
    <x v="0"/>
    <s v="MEZ-100"/>
    <n v="850"/>
    <n v="850"/>
    <s v="FOB"/>
    <d v="2024-03-12T00:00:00"/>
    <d v="2024-03-13T00:00:00"/>
    <d v="2024-03-17T00:00:00"/>
    <x v="0"/>
    <s v="Retraso"/>
    <n v="4"/>
    <s v="SI"/>
    <n v="9"/>
    <n v="4450"/>
    <n v="1000"/>
    <n v="-150"/>
    <x v="1"/>
    <n v="0"/>
  </r>
  <r>
    <s v="IMP-24042"/>
    <d v="2024-02-26T00:00:00"/>
    <s v="Busan"/>
    <s v="Corea"/>
    <x v="1"/>
    <s v="MEZ-101"/>
    <n v="2400"/>
    <n v="2350"/>
    <s v="EXW"/>
    <d v="2024-03-12T00:00:00"/>
    <d v="2024-03-12T00:00:00"/>
    <d v="2024-03-16T00:00:00"/>
    <x v="1"/>
    <s v="A Tiempo"/>
    <n v="4"/>
    <s v="NO"/>
    <n v="9"/>
    <n v="12200"/>
    <n v="2500"/>
    <n v="-150"/>
    <x v="1"/>
    <n v="0"/>
  </r>
  <r>
    <s v="IMP-24043"/>
    <d v="2024-02-27T00:00:00"/>
    <s v="Rotterdam"/>
    <s v="Países Bajos"/>
    <x v="2"/>
    <s v="MEZ-200"/>
    <n v="1150"/>
    <n v="1150"/>
    <s v="CIF"/>
    <d v="2024-03-18T00:00:00"/>
    <d v="2024-03-18T00:00:00"/>
    <d v="2024-03-21T00:00:00"/>
    <x v="2"/>
    <s v="A Tiempo"/>
    <n v="3"/>
    <s v="NO"/>
    <n v="9"/>
    <n v="5900"/>
    <n v="500"/>
    <n v="650"/>
    <x v="1"/>
    <n v="0"/>
  </r>
  <r>
    <s v="IMP-24044"/>
    <d v="2024-02-28T00:00:00"/>
    <s v="Manzanillo"/>
    <s v="México"/>
    <x v="3"/>
    <s v="IMP-300"/>
    <n v="1350"/>
    <n v="1300"/>
    <s v="FOB"/>
    <d v="2024-03-07T00:00:00"/>
    <d v="2024-03-07T00:00:00"/>
    <d v="2024-03-09T00:00:00"/>
    <x v="3"/>
    <s v="A Tiempo"/>
    <n v="2"/>
    <s v="NO"/>
    <n v="9"/>
    <n v="6850"/>
    <n v="1150"/>
    <n v="150"/>
    <x v="1"/>
    <n v="0"/>
  </r>
  <r>
    <s v="IMP-24045"/>
    <d v="2024-02-28T00:00:00"/>
    <s v="Santos"/>
    <s v="Brasil"/>
    <x v="0"/>
    <s v="IMP-301"/>
    <n v="3100"/>
    <n v="3000"/>
    <s v="DDP"/>
    <d v="2024-03-20T00:00:00"/>
    <d v="2024-03-22T00:00:00"/>
    <d v="2024-03-29T00:00:00"/>
    <x v="0"/>
    <s v="Retraso"/>
    <n v="7"/>
    <s v="SI"/>
    <n v="9"/>
    <n v="15850"/>
    <n v="3000"/>
    <n v="0"/>
    <x v="0"/>
    <n v="200"/>
  </r>
  <r>
    <s v="IMP-24046"/>
    <d v="2024-02-29T00:00:00"/>
    <s v="Shanghai"/>
    <s v="China"/>
    <x v="1"/>
    <s v="MEZ-100"/>
    <n v="1250"/>
    <n v="1250"/>
    <s v="FOB"/>
    <d v="2024-03-15T00:00:00"/>
    <d v="2024-03-15T00:00:00"/>
    <d v="2024-03-19T00:00:00"/>
    <x v="1"/>
    <s v="A Tiempo"/>
    <n v="4"/>
    <s v="NO"/>
    <n v="9"/>
    <n v="6450"/>
    <n v="1000"/>
    <n v="250"/>
    <x v="1"/>
    <n v="0"/>
  </r>
  <r>
    <s v="IMP-24047"/>
    <d v="2024-02-29T00:00:00"/>
    <s v="Busan"/>
    <s v="Corea"/>
    <x v="2"/>
    <s v="MEZ-101"/>
    <n v="1650"/>
    <n v="1600"/>
    <s v="EXW"/>
    <d v="2024-03-15T00:00:00"/>
    <d v="2024-03-15T00:00:00"/>
    <d v="2024-03-19T00:00:00"/>
    <x v="2"/>
    <s v="A Tiempo"/>
    <n v="4"/>
    <s v="NO"/>
    <n v="9"/>
    <n v="8450"/>
    <n v="2500"/>
    <n v="-900"/>
    <x v="1"/>
    <n v="0"/>
  </r>
  <r>
    <s v="IMP-24048"/>
    <d v="2024-03-01T00:00:00"/>
    <s v="Rotterdam"/>
    <s v="Países Bajos"/>
    <x v="3"/>
    <s v="MEZ-200"/>
    <n v="950"/>
    <n v="950"/>
    <s v="CIF"/>
    <d v="2024-03-21T00:00:00"/>
    <d v="2024-03-21T00:00:00"/>
    <d v="2024-03-24T00:00:00"/>
    <x v="3"/>
    <s v="A Tiempo"/>
    <n v="3"/>
    <s v="NO"/>
    <n v="9"/>
    <n v="4900"/>
    <n v="500"/>
    <n v="450"/>
    <x v="1"/>
    <n v="0"/>
  </r>
  <r>
    <s v="IMP-24049"/>
    <d v="2024-03-02T00:00:00"/>
    <s v="Manzanillo"/>
    <s v="México"/>
    <x v="0"/>
    <s v="IMP-300"/>
    <n v="550"/>
    <n v="550"/>
    <s v="FOB"/>
    <d v="2024-03-09T00:00:00"/>
    <d v="2024-03-09T00:00:00"/>
    <d v="2024-03-11T00:00:00"/>
    <x v="0"/>
    <s v="A Tiempo"/>
    <n v="2"/>
    <s v="NO"/>
    <n v="9"/>
    <n v="2850"/>
    <n v="1150"/>
    <n v="-600"/>
    <x v="1"/>
    <n v="0"/>
  </r>
  <r>
    <s v="IMP-24050"/>
    <d v="2024-03-02T00:00:00"/>
    <s v="Santos"/>
    <s v="Brasil"/>
    <x v="1"/>
    <s v="IMP-301"/>
    <n v="2700"/>
    <n v="2600"/>
    <s v="DDP"/>
    <d v="2024-03-22T00:00:00"/>
    <d v="2024-03-26T00:00:00"/>
    <d v="2024-04-02T00:00:00"/>
    <x v="1"/>
    <s v="Retraso"/>
    <n v="7"/>
    <s v="SI"/>
    <n v="9"/>
    <n v="13850"/>
    <n v="3000"/>
    <n v="-400"/>
    <x v="1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492BF-A2DD-4C82-BB3A-BC33CE5F4E4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34:E40" firstHeaderRow="1" firstDataRow="2" firstDataCol="1"/>
  <pivotFields count="22">
    <pivotField dataField="1" showAll="0"/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uenta de Folio" fld="0" subtotal="count" showDataAs="percentOfRow" baseField="4" baseItem="2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D70A9-2CE3-4475-B4B9-1BD8D95E5E4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19:C24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sto de demoras por agente aduanal" fld="21" baseField="12" baseItem="1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1CF75-222C-4C95-B48D-7662437BB39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:C8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axis="axisRow" showAll="0" sortType="a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Lead Time promedio por agente aduanal (días)" fld="14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740C05C5-484D-4E6A-87A8-E409D9D18883}" autoFormatId="16" applyNumberFormats="0" applyBorderFormats="0" applyFontFormats="0" applyPatternFormats="0" applyAlignmentFormats="0" applyWidthHeightFormats="0">
  <queryTableRefresh nextId="8">
    <queryTableFields count="7">
      <queryTableField id="1" name="Folio" tableColumnId="1"/>
      <queryTableField id="2" name=" Fecha_Embarque" tableColumnId="2"/>
      <queryTableField id="3" name=" Puerto" tableColumnId="3"/>
      <queryTableField id="4" name=" Pais" tableColumnId="4"/>
      <queryTableField id="5" name=" SKU" tableColumnId="5"/>
      <queryTableField id="6" name=" Cantidad" tableColumnId="6"/>
      <queryTableField id="7" name=" Cost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418B2394-9E4F-4D08-B013-243E80315493}" autoFormatId="16" applyNumberFormats="0" applyBorderFormats="0" applyFontFormats="0" applyPatternFormats="0" applyAlignmentFormats="0" applyWidthHeightFormats="0">
  <queryTableRefresh nextId="5">
    <queryTableFields count="4">
      <queryTableField id="1" name="Source.Name" tableColumnId="1"/>
      <queryTableField id="2" name="Folio" tableColumnId="2"/>
      <queryTableField id="3" name="Fecha" tableColumnId="3"/>
      <queryTableField id="4" name="Cost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45CB9302-BF9C-4C89-922C-B63BD4120E5D}" autoFormatId="16" applyNumberFormats="0" applyBorderFormats="0" applyFontFormats="0" applyPatternFormats="0" applyAlignmentFormats="0" applyWidthHeightFormats="0">
  <queryTableRefresh nextId="23">
    <queryTableFields count="22">
      <queryTableField id="1" name="Folio" tableColumnId="1"/>
      <queryTableField id="2" name="Fecha_Embarque" tableColumnId="2"/>
      <queryTableField id="3" name="Puerto_Origen" tableColumnId="3"/>
      <queryTableField id="4" name="Pais_Origen" tableColumnId="4"/>
      <queryTableField id="5" name="Proveedor" tableColumnId="5"/>
      <queryTableField id="6" name="SKU" tableColumnId="6"/>
      <queryTableField id="7" name="Cantidad_Pedida" tableColumnId="7"/>
      <queryTableField id="8" name="Cantidad_Recibida" tableColumnId="8"/>
      <queryTableField id="9" name="Incoterm" tableColumnId="9"/>
      <queryTableField id="10" name="Fecha_ETA" tableColumnId="10"/>
      <queryTableField id="11" name="Fecha_Arribo" tableColumnId="11"/>
      <queryTableField id="12" name="Fecha_Salida" tableColumnId="12"/>
      <queryTableField id="13" name="Agente_Aduanal" tableColumnId="13"/>
      <queryTableField id="14" name="Estatus" tableColumnId="14"/>
      <queryTableField id="15" name="Dias_Aduana" tableColumnId="15"/>
      <queryTableField id="16" name="Retraso_Aduana" tableColumnId="16"/>
      <queryTableField id="17" name="Validacion_Folio" tableColumnId="17"/>
      <queryTableField id="18" name="Costo_Embarque_USD" tableColumnId="18"/>
      <queryTableField id="19" name="Recibido_Segun_PL" tableColumnId="19"/>
      <queryTableField id="20" name="Discrepancia" tableColumnId="20"/>
      <queryTableField id="21" name="Estatus_Revision" tableColumnId="21"/>
      <queryTableField id="22" name="Costo_Demoras_USC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09EE41-DFAC-43F4-8AD9-BB64C7110333}" name="Datos_Sucios_Importaciones" displayName="Datos_Sucios_Importaciones" ref="A1:G11" tableType="queryTable" totalsRowShown="0">
  <autoFilter ref="A1:G11" xr:uid="{DE09EE41-DFAC-43F4-8AD9-BB64C7110333}"/>
  <tableColumns count="7">
    <tableColumn id="1" xr3:uid="{A46EFB73-794E-489F-94D2-3191F0F9146C}" uniqueName="1" name="Folio" queryTableFieldId="1" dataDxfId="33"/>
    <tableColumn id="2" xr3:uid="{EACD1522-F577-4655-9513-C16BF00FBF2C}" uniqueName="2" name=" Fecha_Embarque" queryTableFieldId="2" dataDxfId="32"/>
    <tableColumn id="3" xr3:uid="{B412C63E-C353-471F-A701-098CCB0A9CF4}" uniqueName="3" name=" Puerto" queryTableFieldId="3" dataDxfId="31"/>
    <tableColumn id="4" xr3:uid="{64F44B86-55FA-4B26-86C5-C38780D75DC1}" uniqueName="4" name=" Pais" queryTableFieldId="4" dataDxfId="30"/>
    <tableColumn id="5" xr3:uid="{798AF25C-98E0-4D25-B844-40D23D538781}" uniqueName="5" name=" SKU" queryTableFieldId="5" dataDxfId="29"/>
    <tableColumn id="6" xr3:uid="{E98FA7E3-60C1-4E98-A7A6-A5686EDDDBDB}" uniqueName="6" name=" Cantidad" queryTableFieldId="6"/>
    <tableColumn id="7" xr3:uid="{5518A970-34C5-4880-BB02-E0CE97E8C203}" uniqueName="7" name=" Costo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85A83A-755A-4860-9F9A-355E66952DFD}" name="Importaciones_Mensuales" displayName="Importaciones_Mensuales" ref="A1:D11" tableType="queryTable" totalsRowShown="0">
  <autoFilter ref="A1:D11" xr:uid="{BE85A83A-755A-4860-9F9A-355E66952DFD}"/>
  <tableColumns count="4">
    <tableColumn id="1" xr3:uid="{44DAD777-FEBF-4405-9114-0B5A7097E103}" uniqueName="1" name="Source.Name" queryTableFieldId="1" dataDxfId="28"/>
    <tableColumn id="2" xr3:uid="{79583308-FAF6-4289-8B28-3A7E6EEA1370}" uniqueName="2" name="Folio" queryTableFieldId="2" dataDxfId="27"/>
    <tableColumn id="3" xr3:uid="{52BE3AB2-07ED-4733-8073-55DF29BE020D}" uniqueName="3" name="Fecha" queryTableFieldId="3" dataDxfId="26"/>
    <tableColumn id="4" xr3:uid="{A30BC793-4037-4015-B457-CA6AB422E9BD}" uniqueName="4" name="Costo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85FB98-5C87-4D09-B085-6C05418AB75F}" name="Tbl_Embarques_1" displayName="Tbl_Embarques_1" ref="A1:V51" tableType="queryTable" totalsRowShown="0">
  <autoFilter ref="A1:V51" xr:uid="{ED85FB98-5C87-4D09-B085-6C05418AB75F}"/>
  <tableColumns count="22">
    <tableColumn id="1" xr3:uid="{3892D5D0-7D59-4DAF-9551-686EE86167E1}" uniqueName="1" name="Folio" queryTableFieldId="1" dataDxfId="25"/>
    <tableColumn id="2" xr3:uid="{1051FB13-25F8-41BB-A88B-AED346D708FC}" uniqueName="2" name="Fecha_Embarque" queryTableFieldId="2" dataDxfId="24"/>
    <tableColumn id="3" xr3:uid="{5CAF8EBA-4675-4B36-8024-523306EC9737}" uniqueName="3" name="Puerto_Origen" queryTableFieldId="3" dataDxfId="23"/>
    <tableColumn id="4" xr3:uid="{1278D1A1-16A7-4FF8-AB84-BB0CD9282B17}" uniqueName="4" name="Pais_Origen" queryTableFieldId="4" dataDxfId="22"/>
    <tableColumn id="5" xr3:uid="{24126676-12CE-47C4-9185-3731EE2E8409}" uniqueName="5" name="Proveedor" queryTableFieldId="5" dataDxfId="21"/>
    <tableColumn id="6" xr3:uid="{8A5AFC96-8EB8-42FE-8DC4-15C68865F450}" uniqueName="6" name="SKU" queryTableFieldId="6" dataDxfId="20"/>
    <tableColumn id="7" xr3:uid="{57A27000-90F0-4F06-964D-A12E54B2B077}" uniqueName="7" name="Cantidad_Pedida" queryTableFieldId="7"/>
    <tableColumn id="8" xr3:uid="{499FE7FC-24FF-4353-8B30-7D5E33636A29}" uniqueName="8" name="Cantidad_Recibida" queryTableFieldId="8"/>
    <tableColumn id="9" xr3:uid="{F1E35E42-F248-4878-A178-65347A4FE7E3}" uniqueName="9" name="Incoterm" queryTableFieldId="9" dataDxfId="19"/>
    <tableColumn id="10" xr3:uid="{40FBC109-EFC0-469E-B6D0-AF0597999A69}" uniqueName="10" name="Fecha_ETA" queryTableFieldId="10" dataDxfId="18"/>
    <tableColumn id="11" xr3:uid="{93A4C9C5-08CA-4871-A17F-4306616E95F9}" uniqueName="11" name="Fecha_Arribo" queryTableFieldId="11" dataDxfId="17"/>
    <tableColumn id="12" xr3:uid="{B2224346-CDCF-47CB-A891-FFE95E57B9D8}" uniqueName="12" name="Fecha_Salida" queryTableFieldId="12" dataDxfId="16"/>
    <tableColumn id="13" xr3:uid="{147E4C12-CDFF-4C08-AC56-C1DE80C5C298}" uniqueName="13" name="Agente_Aduanal" queryTableFieldId="13" dataDxfId="15"/>
    <tableColumn id="14" xr3:uid="{7AEF9619-F99D-44DB-B91D-F894B67EAE3E}" uniqueName="14" name="Estatus" queryTableFieldId="14" dataDxfId="14"/>
    <tableColumn id="15" xr3:uid="{BE2B24CF-F18D-4BD2-A9B6-6DA0B078642A}" uniqueName="15" name="Dias_Aduana" queryTableFieldId="15"/>
    <tableColumn id="16" xr3:uid="{C5A0BFDC-24FB-4130-B766-74C48DDC0A76}" uniqueName="16" name="Retraso_Aduana" queryTableFieldId="16" dataDxfId="13"/>
    <tableColumn id="17" xr3:uid="{C0A903C4-657A-4934-8B9B-298BE007757A}" uniqueName="17" name="Validacion_Folio" queryTableFieldId="17"/>
    <tableColumn id="18" xr3:uid="{3AE03906-507D-4BAA-A3D6-BC7B62C503A6}" uniqueName="18" name="Costo_Embarque_USD" queryTableFieldId="18"/>
    <tableColumn id="19" xr3:uid="{F7C07E9E-8E1D-4A0E-8D00-B062EA965A67}" uniqueName="19" name="Recibido_Segun_PL" queryTableFieldId="19"/>
    <tableColumn id="20" xr3:uid="{D7372458-64D2-46AD-A49F-42819AC2E60F}" uniqueName="20" name="Discrepancia" queryTableFieldId="20"/>
    <tableColumn id="21" xr3:uid="{1EFAB2E1-9153-4759-BBCB-84812D4B5AB8}" uniqueName="21" name="Estatus_Revision" queryTableFieldId="21" dataDxfId="12"/>
    <tableColumn id="22" xr3:uid="{C0A9EBE2-5CAB-412D-9C37-D3CE9EEEEC6B}" uniqueName="22" name="Costo_Demoras_USC" queryTableField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BD3F7-C472-4544-9405-234B54C3A02B}" name="Tbl_Embarques" displayName="Tbl_Embarques" ref="A1:V51" totalsRowShown="0">
  <autoFilter ref="A1:V51" xr:uid="{6CDBD3F7-C472-4544-9405-234B54C3A02B}"/>
  <tableColumns count="22">
    <tableColumn id="1" xr3:uid="{DDF1E1BC-EC01-40AE-A23F-9ED23D569F6F}" name="Folio"/>
    <tableColumn id="2" xr3:uid="{20E59F49-FF8A-49BB-A25D-C40CFF19238B}" name="Fecha_Embarque" dataDxfId="11"/>
    <tableColumn id="3" xr3:uid="{9F884132-B805-49E9-83D3-82F06DD84795}" name="Puerto_Origen"/>
    <tableColumn id="4" xr3:uid="{A6B36FAE-E5BA-4C7B-8432-1E329323AB90}" name="Pais_Origen"/>
    <tableColumn id="5" xr3:uid="{F58705DA-E3FF-4EEF-BF1A-DE51046157CF}" name="Proveedor"/>
    <tableColumn id="6" xr3:uid="{DBA832E3-FEED-447C-A586-78872891F6E2}" name="SKU"/>
    <tableColumn id="7" xr3:uid="{AC25A7BF-BC70-4A30-8D91-60CB0E7BC117}" name="Cantidad_Pedida"/>
    <tableColumn id="8" xr3:uid="{E38CFE73-ACD8-4241-8224-EFABFDD6F8D8}" name="Cantidad_Recibida"/>
    <tableColumn id="9" xr3:uid="{8129D8DD-DC53-4F44-8377-B016C17418B4}" name="Incoterm"/>
    <tableColumn id="10" xr3:uid="{A8231BAD-7B8A-4744-A449-13E2F2A1923E}" name="Fecha_ETA" dataDxfId="10"/>
    <tableColumn id="11" xr3:uid="{4C690782-5CD7-475C-BFB5-AADB6C908562}" name="Fecha_Arribo" dataDxfId="9"/>
    <tableColumn id="12" xr3:uid="{591DF7A5-1A5D-4023-8317-7BFF6EA9F03F}" name="Fecha_Salida" dataDxfId="8"/>
    <tableColumn id="13" xr3:uid="{6D3DC20D-F83D-4AA5-AE6D-DC6A9F7EF7D8}" name="Agente_Aduanal"/>
    <tableColumn id="14" xr3:uid="{781E497E-DFB8-4DA4-A3A8-7AF6A9D7EB4F}" name="Estatus">
      <calculatedColumnFormula>IF(K2=J2,"A Tiempo",IF(K2&gt;J2,"Retraso","Adelantado"))</calculatedColumnFormula>
    </tableColumn>
    <tableColumn id="15" xr3:uid="{F6FDA618-563B-4EFC-A19F-BE752E536490}" name="Dias_Aduana">
      <calculatedColumnFormula>L2-K2</calculatedColumnFormula>
    </tableColumn>
    <tableColumn id="16" xr3:uid="{E93634E5-B351-4687-A632-BB1134C55752}" name="Retraso_Aduana">
      <calculatedColumnFormula>IF(AND(O2&gt;3,N2="Retraso"),"SI","NO")</calculatedColumnFormula>
    </tableColumn>
    <tableColumn id="17" xr3:uid="{0D56A28F-8642-49FE-93E3-854F77931965}" name="Validacion_Folio">
      <calculatedColumnFormula>LEN(A2)</calculatedColumnFormula>
    </tableColumn>
    <tableColumn id="18" xr3:uid="{EDB585E4-9AD7-4225-BBAD-05E06C9C0B19}" name="Costo_Embarque_USD">
      <calculatedColumnFormula>G2*5 +O2*50</calculatedColumnFormula>
    </tableColumn>
    <tableColumn id="19" xr3:uid="{AFA038E1-11C3-41E2-88B6-BC61DED912ED}" name="Recibido_Segun_PL" dataDxfId="7">
      <calculatedColumnFormula>_xlfn.XLOOKUP(Tbl_Embarques[[#This Row],[SKU]],Tbl_Packing_List[SKU],Tbl_Packing_List[Cantidad_Recibida_PL],"No Encontrado")</calculatedColumnFormula>
    </tableColumn>
    <tableColumn id="20" xr3:uid="{4B86514C-C4C3-4144-B020-8496151CCBBF}" name="Discrepancia" dataDxfId="6">
      <calculatedColumnFormula>Tbl_Embarques[[#This Row],[Cantidad_Recibida]]-Tbl_Embarques[[#This Row],[Recibido_Segun_PL]]</calculatedColumnFormula>
    </tableColumn>
    <tableColumn id="21" xr3:uid="{2FC74680-279D-4588-823C-C286F5731B5B}" name="Estatus_Revision" dataDxfId="5">
      <calculatedColumnFormula>IF(Tbl_Embarques[[#This Row],[Discrepancia]]=0,"OK","Revisar con proveedor")</calculatedColumnFormula>
    </tableColumn>
    <tableColumn id="22" xr3:uid="{05119CD4-E97F-4362-A960-7B6DE229DAD1}" name="Costo_Demoras_USC" dataDxfId="4">
      <calculatedColumnFormula>IF(Tbl_Embarques[[#This Row],[Dias_Aduana]]&gt;5,(Tbl_Embarques[[#This Row],[Dias_Aduana]]-5)*100,0)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97F44-C9EF-45E6-8ABE-ECCAC7933246}" name="Tbl_Packing_List" displayName="Tbl_Packing_List" ref="A1:B16" totalsRowShown="0">
  <autoFilter ref="A1:B16" xr:uid="{D7F97F44-C9EF-45E6-8ABE-ECCAC7933246}"/>
  <tableColumns count="2">
    <tableColumn id="1" xr3:uid="{3C0B51E2-3EBA-4700-8B05-8EA55B2CD04E}" name="SKU"/>
    <tableColumn id="2" xr3:uid="{0CDC865D-A107-48D8-9272-18B0C6C3B225}" name="Cantidad_Recibida_P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EAB6-4D45-4C10-9FA3-9E76AD958602}">
  <dimension ref="B3:F40"/>
  <sheetViews>
    <sheetView topLeftCell="C25" workbookViewId="0">
      <selection activeCell="D38" sqref="D38"/>
    </sheetView>
  </sheetViews>
  <sheetFormatPr baseColWidth="10" defaultRowHeight="15.75" x14ac:dyDescent="0.25"/>
  <cols>
    <col min="1" max="2" width="15.875" bestFit="1" customWidth="1"/>
    <col min="3" max="3" width="20.5" bestFit="1" customWidth="1"/>
    <col min="4" max="4" width="18.875" bestFit="1" customWidth="1"/>
    <col min="5" max="5" width="11.25" bestFit="1" customWidth="1"/>
    <col min="6" max="6" width="13.375" customWidth="1"/>
  </cols>
  <sheetData>
    <row r="3" spans="2:3" x14ac:dyDescent="0.25">
      <c r="B3" s="2" t="s">
        <v>99</v>
      </c>
      <c r="C3" t="s">
        <v>101</v>
      </c>
    </row>
    <row r="4" spans="2:3" x14ac:dyDescent="0.25">
      <c r="B4" s="3" t="s">
        <v>39</v>
      </c>
      <c r="C4">
        <v>4</v>
      </c>
    </row>
    <row r="5" spans="2:3" x14ac:dyDescent="0.25">
      <c r="B5" s="3" t="s">
        <v>33</v>
      </c>
      <c r="C5">
        <v>4.083333333333333</v>
      </c>
    </row>
    <row r="6" spans="2:3" x14ac:dyDescent="0.25">
      <c r="B6" s="3" t="s">
        <v>19</v>
      </c>
      <c r="C6">
        <v>4.384615384615385</v>
      </c>
    </row>
    <row r="7" spans="2:3" x14ac:dyDescent="0.25">
      <c r="B7" s="3" t="s">
        <v>26</v>
      </c>
      <c r="C7">
        <v>4.4615384615384617</v>
      </c>
    </row>
    <row r="8" spans="2:3" x14ac:dyDescent="0.25">
      <c r="B8" s="3" t="s">
        <v>100</v>
      </c>
      <c r="C8">
        <v>4.24</v>
      </c>
    </row>
    <row r="19" spans="2:3" x14ac:dyDescent="0.25">
      <c r="B19" s="2" t="s">
        <v>99</v>
      </c>
      <c r="C19" t="s">
        <v>103</v>
      </c>
    </row>
    <row r="20" spans="2:3" x14ac:dyDescent="0.25">
      <c r="B20" s="3" t="s">
        <v>19</v>
      </c>
      <c r="C20" s="4">
        <v>1000</v>
      </c>
    </row>
    <row r="21" spans="2:3" x14ac:dyDescent="0.25">
      <c r="B21" s="3" t="s">
        <v>26</v>
      </c>
      <c r="C21" s="4">
        <v>700</v>
      </c>
    </row>
    <row r="22" spans="2:3" x14ac:dyDescent="0.25">
      <c r="B22" s="3" t="s">
        <v>33</v>
      </c>
      <c r="C22" s="4">
        <v>400</v>
      </c>
    </row>
    <row r="23" spans="2:3" x14ac:dyDescent="0.25">
      <c r="B23" s="3" t="s">
        <v>39</v>
      </c>
      <c r="C23" s="4">
        <v>500</v>
      </c>
    </row>
    <row r="24" spans="2:3" x14ac:dyDescent="0.25">
      <c r="B24" s="3" t="s">
        <v>100</v>
      </c>
      <c r="C24" s="4">
        <v>2600</v>
      </c>
    </row>
    <row r="34" spans="2:6" x14ac:dyDescent="0.25">
      <c r="B34" s="2" t="s">
        <v>107</v>
      </c>
      <c r="C34" s="2" t="s">
        <v>104</v>
      </c>
      <c r="F34" t="s">
        <v>108</v>
      </c>
    </row>
    <row r="35" spans="2:6" x14ac:dyDescent="0.25">
      <c r="B35" s="2" t="s">
        <v>99</v>
      </c>
      <c r="C35" t="s">
        <v>105</v>
      </c>
      <c r="D35" t="s">
        <v>106</v>
      </c>
      <c r="E35" t="s">
        <v>100</v>
      </c>
      <c r="F35" s="5">
        <f>GETPIVOTDATA("Folio",$B$34,"Estatus_Revision","Revisar con proveedor")/GETPIVOTDATA("Folio",$B$34)</f>
        <v>0.86</v>
      </c>
    </row>
    <row r="36" spans="2:6" x14ac:dyDescent="0.25">
      <c r="B36" s="3" t="s">
        <v>16</v>
      </c>
      <c r="C36" s="6">
        <v>0.23076923076923078</v>
      </c>
      <c r="D36" s="6">
        <v>0.76923076923076927</v>
      </c>
      <c r="E36" s="6">
        <v>1</v>
      </c>
    </row>
    <row r="37" spans="2:6" x14ac:dyDescent="0.25">
      <c r="B37" s="3" t="s">
        <v>23</v>
      </c>
      <c r="C37" s="6">
        <v>7.6923076923076927E-2</v>
      </c>
      <c r="D37" s="6">
        <v>0.92307692307692313</v>
      </c>
      <c r="E37" s="6">
        <v>1</v>
      </c>
    </row>
    <row r="38" spans="2:6" x14ac:dyDescent="0.25">
      <c r="B38" s="3" t="s">
        <v>30</v>
      </c>
      <c r="C38" s="6">
        <v>8.3333333333333329E-2</v>
      </c>
      <c r="D38" s="6">
        <v>0.91666666666666663</v>
      </c>
      <c r="E38" s="6">
        <v>1</v>
      </c>
    </row>
    <row r="39" spans="2:6" x14ac:dyDescent="0.25">
      <c r="B39" s="3" t="s">
        <v>37</v>
      </c>
      <c r="C39" s="6">
        <v>0.16666666666666666</v>
      </c>
      <c r="D39" s="6">
        <v>0.83333333333333337</v>
      </c>
      <c r="E39" s="6">
        <v>1</v>
      </c>
    </row>
    <row r="40" spans="2:6" x14ac:dyDescent="0.25">
      <c r="B40" s="3" t="s">
        <v>100</v>
      </c>
      <c r="C40" s="6">
        <v>0.14000000000000001</v>
      </c>
      <c r="D40" s="6">
        <v>0.86</v>
      </c>
      <c r="E40" s="6">
        <v>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AEC2-62B3-4D69-A432-2EA2ADE51731}">
  <dimension ref="A1:G11"/>
  <sheetViews>
    <sheetView workbookViewId="0">
      <selection activeCell="F17" sqref="F17"/>
    </sheetView>
  </sheetViews>
  <sheetFormatPr baseColWidth="10" defaultRowHeight="15.75" x14ac:dyDescent="0.25"/>
  <cols>
    <col min="1" max="1" width="9.5" bestFit="1" customWidth="1"/>
    <col min="2" max="2" width="17.25" bestFit="1" customWidth="1"/>
    <col min="3" max="3" width="23" bestFit="1" customWidth="1"/>
    <col min="5" max="5" width="8" bestFit="1" customWidth="1"/>
    <col min="6" max="6" width="10.625" bestFit="1" customWidth="1"/>
    <col min="7" max="7" width="8" bestFit="1" customWidth="1"/>
  </cols>
  <sheetData>
    <row r="1" spans="1:7" x14ac:dyDescent="0.25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</row>
    <row r="2" spans="1:7" x14ac:dyDescent="0.25">
      <c r="A2" t="s">
        <v>13</v>
      </c>
      <c r="B2" s="1">
        <v>45323</v>
      </c>
      <c r="C2" t="s">
        <v>14</v>
      </c>
      <c r="D2" t="s">
        <v>15</v>
      </c>
      <c r="E2" t="s">
        <v>17</v>
      </c>
      <c r="F2">
        <v>1000</v>
      </c>
      <c r="G2">
        <v>500</v>
      </c>
    </row>
    <row r="3" spans="1:7" x14ac:dyDescent="0.25">
      <c r="A3" t="s">
        <v>20</v>
      </c>
      <c r="B3" s="1">
        <v>45324</v>
      </c>
      <c r="C3" t="s">
        <v>21</v>
      </c>
      <c r="D3" t="s">
        <v>22</v>
      </c>
      <c r="E3" t="s">
        <v>24</v>
      </c>
      <c r="F3">
        <v>2500</v>
      </c>
      <c r="G3">
        <v>1250</v>
      </c>
    </row>
    <row r="4" spans="1:7" x14ac:dyDescent="0.25">
      <c r="A4" t="s">
        <v>27</v>
      </c>
      <c r="B4" s="1">
        <v>45325</v>
      </c>
      <c r="C4" t="s">
        <v>28</v>
      </c>
      <c r="D4" t="s">
        <v>29</v>
      </c>
      <c r="E4" t="s">
        <v>31</v>
      </c>
      <c r="F4">
        <v>500</v>
      </c>
      <c r="G4">
        <v>250.5</v>
      </c>
    </row>
    <row r="5" spans="1:7" x14ac:dyDescent="0.25">
      <c r="A5" t="s">
        <v>34</v>
      </c>
      <c r="B5" s="1">
        <v>45325</v>
      </c>
      <c r="C5" t="s">
        <v>35</v>
      </c>
      <c r="D5" t="s">
        <v>36</v>
      </c>
      <c r="E5" t="s">
        <v>38</v>
      </c>
      <c r="F5">
        <v>1200</v>
      </c>
      <c r="G5">
        <v>600</v>
      </c>
    </row>
    <row r="6" spans="1:7" x14ac:dyDescent="0.25">
      <c r="A6" t="s">
        <v>40</v>
      </c>
      <c r="B6" s="1">
        <v>45326</v>
      </c>
      <c r="C6" t="s">
        <v>41</v>
      </c>
      <c r="D6" t="s">
        <v>42</v>
      </c>
      <c r="E6" t="s">
        <v>43</v>
      </c>
      <c r="F6">
        <v>3000</v>
      </c>
      <c r="G6">
        <v>1500.75</v>
      </c>
    </row>
    <row r="7" spans="1:7" x14ac:dyDescent="0.25">
      <c r="A7" t="s">
        <v>45</v>
      </c>
      <c r="B7" s="1">
        <v>45327</v>
      </c>
      <c r="C7" t="s">
        <v>14</v>
      </c>
      <c r="D7" t="s">
        <v>15</v>
      </c>
      <c r="E7" t="s">
        <v>17</v>
      </c>
      <c r="F7">
        <v>800</v>
      </c>
      <c r="G7">
        <v>400</v>
      </c>
    </row>
    <row r="8" spans="1:7" x14ac:dyDescent="0.25">
      <c r="A8" t="s">
        <v>46</v>
      </c>
      <c r="B8" s="1">
        <v>45327</v>
      </c>
      <c r="C8" t="s">
        <v>21</v>
      </c>
      <c r="D8" t="s">
        <v>22</v>
      </c>
      <c r="E8" t="s">
        <v>24</v>
      </c>
      <c r="F8">
        <v>1500</v>
      </c>
      <c r="G8">
        <v>750.25</v>
      </c>
    </row>
    <row r="9" spans="1:7" x14ac:dyDescent="0.25">
      <c r="A9" t="s">
        <v>47</v>
      </c>
      <c r="B9" s="1">
        <v>45328</v>
      </c>
      <c r="C9" t="s">
        <v>28</v>
      </c>
      <c r="D9" t="s">
        <v>29</v>
      </c>
      <c r="E9" t="s">
        <v>31</v>
      </c>
      <c r="F9">
        <v>2000</v>
      </c>
      <c r="G9">
        <v>1000</v>
      </c>
    </row>
    <row r="10" spans="1:7" x14ac:dyDescent="0.25">
      <c r="A10" t="s">
        <v>48</v>
      </c>
      <c r="B10" s="1">
        <v>45329</v>
      </c>
      <c r="C10" t="s">
        <v>126</v>
      </c>
      <c r="D10" t="s">
        <v>36</v>
      </c>
      <c r="E10" t="s">
        <v>38</v>
      </c>
      <c r="F10">
        <v>900</v>
      </c>
      <c r="G10">
        <v>450</v>
      </c>
    </row>
    <row r="11" spans="1:7" x14ac:dyDescent="0.25">
      <c r="A11" t="s">
        <v>49</v>
      </c>
      <c r="B11" s="1">
        <v>45329</v>
      </c>
      <c r="C11" t="s">
        <v>41</v>
      </c>
      <c r="D11" t="s">
        <v>42</v>
      </c>
      <c r="E11" t="s">
        <v>127</v>
      </c>
      <c r="F11">
        <v>2300</v>
      </c>
      <c r="G11">
        <v>1150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6277-DCB7-4E86-870A-362541395C37}">
  <dimension ref="A1:D11"/>
  <sheetViews>
    <sheetView workbookViewId="0">
      <selection activeCell="C14" sqref="C14"/>
    </sheetView>
  </sheetViews>
  <sheetFormatPr baseColWidth="10" defaultRowHeight="15.75" x14ac:dyDescent="0.25"/>
  <cols>
    <col min="1" max="1" width="15.25" bestFit="1" customWidth="1"/>
    <col min="2" max="2" width="9.5" bestFit="1" customWidth="1"/>
    <col min="3" max="3" width="10.125" bestFit="1" customWidth="1"/>
    <col min="4" max="4" width="7.625" bestFit="1" customWidth="1"/>
  </cols>
  <sheetData>
    <row r="1" spans="1:4" x14ac:dyDescent="0.25">
      <c r="A1" t="s">
        <v>114</v>
      </c>
      <c r="B1" t="s">
        <v>0</v>
      </c>
      <c r="C1" t="s">
        <v>115</v>
      </c>
      <c r="D1" t="s">
        <v>116</v>
      </c>
    </row>
    <row r="2" spans="1:4" x14ac:dyDescent="0.25">
      <c r="A2" t="s">
        <v>117</v>
      </c>
      <c r="B2" t="s">
        <v>13</v>
      </c>
      <c r="C2" s="1">
        <v>45323</v>
      </c>
      <c r="D2">
        <v>500</v>
      </c>
    </row>
    <row r="3" spans="1:4" x14ac:dyDescent="0.25">
      <c r="A3" t="s">
        <v>117</v>
      </c>
      <c r="B3" t="s">
        <v>20</v>
      </c>
      <c r="C3" s="1">
        <v>45324</v>
      </c>
      <c r="D3">
        <v>1250</v>
      </c>
    </row>
    <row r="4" spans="1:4" x14ac:dyDescent="0.25">
      <c r="A4" t="s">
        <v>117</v>
      </c>
      <c r="B4" t="s">
        <v>27</v>
      </c>
      <c r="C4" s="1">
        <v>45325</v>
      </c>
      <c r="D4">
        <v>250</v>
      </c>
    </row>
    <row r="5" spans="1:4" x14ac:dyDescent="0.25">
      <c r="A5" t="s">
        <v>118</v>
      </c>
      <c r="B5" t="s">
        <v>34</v>
      </c>
      <c r="C5" s="1">
        <v>45325</v>
      </c>
      <c r="D5">
        <v>600</v>
      </c>
    </row>
    <row r="6" spans="1:4" x14ac:dyDescent="0.25">
      <c r="A6" t="s">
        <v>118</v>
      </c>
      <c r="B6" t="s">
        <v>40</v>
      </c>
      <c r="C6" s="1">
        <v>45326</v>
      </c>
      <c r="D6">
        <v>1500</v>
      </c>
    </row>
    <row r="7" spans="1:4" x14ac:dyDescent="0.25">
      <c r="A7" t="s">
        <v>118</v>
      </c>
      <c r="B7" t="s">
        <v>45</v>
      </c>
      <c r="C7" s="1">
        <v>45327</v>
      </c>
      <c r="D7">
        <v>400</v>
      </c>
    </row>
    <row r="8" spans="1:4" x14ac:dyDescent="0.25">
      <c r="A8" t="s">
        <v>119</v>
      </c>
      <c r="B8" t="s">
        <v>46</v>
      </c>
      <c r="C8" s="1">
        <v>45327</v>
      </c>
      <c r="D8">
        <v>750</v>
      </c>
    </row>
    <row r="9" spans="1:4" x14ac:dyDescent="0.25">
      <c r="A9" t="s">
        <v>119</v>
      </c>
      <c r="B9" t="s">
        <v>47</v>
      </c>
      <c r="C9" s="1">
        <v>45328</v>
      </c>
      <c r="D9">
        <v>1000</v>
      </c>
    </row>
    <row r="10" spans="1:4" x14ac:dyDescent="0.25">
      <c r="A10" t="s">
        <v>119</v>
      </c>
      <c r="B10" t="s">
        <v>48</v>
      </c>
      <c r="C10" s="1">
        <v>45329</v>
      </c>
      <c r="D10">
        <v>450</v>
      </c>
    </row>
    <row r="11" spans="1:4" x14ac:dyDescent="0.25">
      <c r="A11" t="s">
        <v>119</v>
      </c>
      <c r="B11" t="s">
        <v>49</v>
      </c>
      <c r="C11" s="1">
        <v>45329</v>
      </c>
      <c r="D11">
        <v>1150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0557-38E2-42A6-933B-A1C69617978A}">
  <dimension ref="A1:V51"/>
  <sheetViews>
    <sheetView topLeftCell="L1" workbookViewId="0">
      <selection activeCell="V6" sqref="V6"/>
    </sheetView>
  </sheetViews>
  <sheetFormatPr baseColWidth="10" defaultRowHeight="15.75" x14ac:dyDescent="0.25"/>
  <cols>
    <col min="1" max="1" width="9.5" bestFit="1" customWidth="1"/>
    <col min="2" max="2" width="16.875" bestFit="1" customWidth="1"/>
    <col min="3" max="3" width="14.375" bestFit="1" customWidth="1"/>
    <col min="4" max="4" width="12.5" bestFit="1" customWidth="1"/>
    <col min="5" max="5" width="11.125" bestFit="1" customWidth="1"/>
    <col min="6" max="6" width="8" bestFit="1" customWidth="1"/>
    <col min="7" max="7" width="16.625" bestFit="1" customWidth="1"/>
    <col min="8" max="8" width="18.25" bestFit="1" customWidth="1"/>
    <col min="9" max="9" width="10.25" bestFit="1" customWidth="1"/>
    <col min="10" max="10" width="11.625" bestFit="1" customWidth="1"/>
    <col min="11" max="11" width="13.5" bestFit="1" customWidth="1"/>
    <col min="12" max="12" width="13.75" bestFit="1" customWidth="1"/>
    <col min="13" max="13" width="15.875" bestFit="1" customWidth="1"/>
    <col min="14" max="14" width="10.125" bestFit="1" customWidth="1"/>
    <col min="15" max="15" width="13.375" bestFit="1" customWidth="1"/>
    <col min="16" max="16" width="16" bestFit="1" customWidth="1"/>
    <col min="17" max="17" width="16.25" bestFit="1" customWidth="1"/>
    <col min="18" max="18" width="21.125" bestFit="1" customWidth="1"/>
    <col min="19" max="19" width="18.625" bestFit="1" customWidth="1"/>
    <col min="20" max="20" width="13.625" bestFit="1" customWidth="1"/>
    <col min="21" max="21" width="18.875" bestFit="1" customWidth="1"/>
    <col min="22" max="22" width="20.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102</v>
      </c>
    </row>
    <row r="2" spans="1:22" x14ac:dyDescent="0.25">
      <c r="A2" t="s">
        <v>13</v>
      </c>
      <c r="B2" s="1">
        <v>45323</v>
      </c>
      <c r="C2" t="s">
        <v>14</v>
      </c>
      <c r="D2" t="s">
        <v>15</v>
      </c>
      <c r="E2" t="s">
        <v>16</v>
      </c>
      <c r="F2" t="s">
        <v>17</v>
      </c>
      <c r="G2">
        <v>1000</v>
      </c>
      <c r="H2">
        <v>1000</v>
      </c>
      <c r="I2" t="s">
        <v>18</v>
      </c>
      <c r="J2" s="1">
        <v>45338</v>
      </c>
      <c r="K2" s="1">
        <v>45340</v>
      </c>
      <c r="L2" s="1">
        <v>45344</v>
      </c>
      <c r="M2" t="s">
        <v>19</v>
      </c>
      <c r="N2" t="s">
        <v>109</v>
      </c>
      <c r="O2">
        <v>4</v>
      </c>
      <c r="P2" t="s">
        <v>110</v>
      </c>
      <c r="Q2">
        <v>9</v>
      </c>
      <c r="R2">
        <v>5200</v>
      </c>
      <c r="S2">
        <v>1000</v>
      </c>
      <c r="T2">
        <v>0</v>
      </c>
      <c r="U2" t="s">
        <v>105</v>
      </c>
      <c r="V2">
        <v>0</v>
      </c>
    </row>
    <row r="3" spans="1:22" x14ac:dyDescent="0.25">
      <c r="A3" t="s">
        <v>20</v>
      </c>
      <c r="B3" s="1">
        <v>45324</v>
      </c>
      <c r="C3" t="s">
        <v>21</v>
      </c>
      <c r="D3" t="s">
        <v>22</v>
      </c>
      <c r="E3" t="s">
        <v>23</v>
      </c>
      <c r="F3" t="s">
        <v>24</v>
      </c>
      <c r="G3">
        <v>2500</v>
      </c>
      <c r="H3">
        <v>2500</v>
      </c>
      <c r="I3" t="s">
        <v>25</v>
      </c>
      <c r="J3" s="1">
        <v>45344</v>
      </c>
      <c r="K3" s="1">
        <v>45344</v>
      </c>
      <c r="L3" s="1">
        <v>45347</v>
      </c>
      <c r="M3" t="s">
        <v>26</v>
      </c>
      <c r="N3" t="s">
        <v>111</v>
      </c>
      <c r="O3">
        <v>3</v>
      </c>
      <c r="P3" t="s">
        <v>112</v>
      </c>
      <c r="Q3">
        <v>9</v>
      </c>
      <c r="R3">
        <v>12650</v>
      </c>
      <c r="S3">
        <v>2500</v>
      </c>
      <c r="T3">
        <v>0</v>
      </c>
      <c r="U3" t="s">
        <v>105</v>
      </c>
      <c r="V3">
        <v>0</v>
      </c>
    </row>
    <row r="4" spans="1:22" x14ac:dyDescent="0.25">
      <c r="A4" t="s">
        <v>27</v>
      </c>
      <c r="B4" s="1">
        <v>45325</v>
      </c>
      <c r="C4" t="s">
        <v>28</v>
      </c>
      <c r="D4" t="s">
        <v>29</v>
      </c>
      <c r="E4" t="s">
        <v>30</v>
      </c>
      <c r="F4" t="s">
        <v>31</v>
      </c>
      <c r="G4">
        <v>500</v>
      </c>
      <c r="H4">
        <v>500</v>
      </c>
      <c r="I4" t="s">
        <v>32</v>
      </c>
      <c r="J4" s="1">
        <v>45347</v>
      </c>
      <c r="K4" s="1">
        <v>45348</v>
      </c>
      <c r="L4" s="1">
        <v>45352</v>
      </c>
      <c r="M4" t="s">
        <v>33</v>
      </c>
      <c r="N4" t="s">
        <v>109</v>
      </c>
      <c r="O4">
        <v>4</v>
      </c>
      <c r="P4" t="s">
        <v>110</v>
      </c>
      <c r="Q4">
        <v>9</v>
      </c>
      <c r="R4">
        <v>2700</v>
      </c>
      <c r="S4">
        <v>500</v>
      </c>
      <c r="T4">
        <v>0</v>
      </c>
      <c r="U4" t="s">
        <v>105</v>
      </c>
      <c r="V4">
        <v>0</v>
      </c>
    </row>
    <row r="5" spans="1:22" x14ac:dyDescent="0.25">
      <c r="A5" t="s">
        <v>34</v>
      </c>
      <c r="B5" s="1">
        <v>45325</v>
      </c>
      <c r="C5" t="s">
        <v>35</v>
      </c>
      <c r="D5" t="s">
        <v>36</v>
      </c>
      <c r="E5" t="s">
        <v>37</v>
      </c>
      <c r="F5" t="s">
        <v>38</v>
      </c>
      <c r="G5">
        <v>1200</v>
      </c>
      <c r="H5">
        <v>1150</v>
      </c>
      <c r="I5" t="s">
        <v>18</v>
      </c>
      <c r="J5" s="1">
        <v>45332</v>
      </c>
      <c r="K5" s="1">
        <v>45332</v>
      </c>
      <c r="L5" s="1">
        <v>45334</v>
      </c>
      <c r="M5" t="s">
        <v>39</v>
      </c>
      <c r="N5" t="s">
        <v>111</v>
      </c>
      <c r="O5">
        <v>2</v>
      </c>
      <c r="P5" t="s">
        <v>112</v>
      </c>
      <c r="Q5">
        <v>9</v>
      </c>
      <c r="R5">
        <v>6100</v>
      </c>
      <c r="S5">
        <v>1150</v>
      </c>
      <c r="T5">
        <v>0</v>
      </c>
      <c r="U5" t="s">
        <v>105</v>
      </c>
      <c r="V5">
        <v>0</v>
      </c>
    </row>
    <row r="6" spans="1:22" x14ac:dyDescent="0.25">
      <c r="A6" t="s">
        <v>40</v>
      </c>
      <c r="B6" s="1">
        <v>45326</v>
      </c>
      <c r="C6" t="s">
        <v>41</v>
      </c>
      <c r="D6" t="s">
        <v>42</v>
      </c>
      <c r="E6" t="s">
        <v>16</v>
      </c>
      <c r="F6" t="s">
        <v>43</v>
      </c>
      <c r="G6">
        <v>3000</v>
      </c>
      <c r="H6">
        <v>3000</v>
      </c>
      <c r="I6" t="s">
        <v>44</v>
      </c>
      <c r="J6" s="1">
        <v>45348</v>
      </c>
      <c r="K6" s="1">
        <v>45345</v>
      </c>
      <c r="L6" s="1">
        <v>45356</v>
      </c>
      <c r="M6" t="s">
        <v>19</v>
      </c>
      <c r="N6" t="s">
        <v>113</v>
      </c>
      <c r="O6">
        <v>11</v>
      </c>
      <c r="P6" t="s">
        <v>112</v>
      </c>
      <c r="Q6">
        <v>9</v>
      </c>
      <c r="R6">
        <v>15550</v>
      </c>
      <c r="S6">
        <v>3000</v>
      </c>
      <c r="T6">
        <v>0</v>
      </c>
      <c r="U6" t="s">
        <v>105</v>
      </c>
      <c r="V6">
        <v>600</v>
      </c>
    </row>
    <row r="7" spans="1:22" x14ac:dyDescent="0.25">
      <c r="A7" t="s">
        <v>45</v>
      </c>
      <c r="B7" s="1">
        <v>45327</v>
      </c>
      <c r="C7" t="s">
        <v>14</v>
      </c>
      <c r="D7" t="s">
        <v>15</v>
      </c>
      <c r="E7" t="s">
        <v>23</v>
      </c>
      <c r="F7" t="s">
        <v>17</v>
      </c>
      <c r="G7">
        <v>800</v>
      </c>
      <c r="H7">
        <v>800</v>
      </c>
      <c r="I7" t="s">
        <v>18</v>
      </c>
      <c r="J7" s="1">
        <v>45342</v>
      </c>
      <c r="K7" s="1">
        <v>45344</v>
      </c>
      <c r="L7" s="1">
        <v>45348</v>
      </c>
      <c r="M7" t="s">
        <v>26</v>
      </c>
      <c r="N7" t="s">
        <v>109</v>
      </c>
      <c r="O7">
        <v>4</v>
      </c>
      <c r="P7" t="s">
        <v>110</v>
      </c>
      <c r="Q7">
        <v>9</v>
      </c>
      <c r="R7">
        <v>4200</v>
      </c>
      <c r="S7">
        <v>1000</v>
      </c>
      <c r="T7">
        <v>-200</v>
      </c>
      <c r="U7" t="s">
        <v>106</v>
      </c>
      <c r="V7">
        <v>0</v>
      </c>
    </row>
    <row r="8" spans="1:22" x14ac:dyDescent="0.25">
      <c r="A8" t="s">
        <v>46</v>
      </c>
      <c r="B8" s="1">
        <v>45327</v>
      </c>
      <c r="C8" t="s">
        <v>21</v>
      </c>
      <c r="D8" t="s">
        <v>22</v>
      </c>
      <c r="E8" t="s">
        <v>30</v>
      </c>
      <c r="F8" t="s">
        <v>24</v>
      </c>
      <c r="G8">
        <v>1500</v>
      </c>
      <c r="H8">
        <v>1400</v>
      </c>
      <c r="I8" t="s">
        <v>25</v>
      </c>
      <c r="J8" s="1">
        <v>45347</v>
      </c>
      <c r="K8" s="1">
        <v>45348</v>
      </c>
      <c r="L8" s="1">
        <v>45352</v>
      </c>
      <c r="M8" t="s">
        <v>33</v>
      </c>
      <c r="N8" t="s">
        <v>109</v>
      </c>
      <c r="O8">
        <v>4</v>
      </c>
      <c r="P8" t="s">
        <v>110</v>
      </c>
      <c r="Q8">
        <v>9</v>
      </c>
      <c r="R8">
        <v>7700</v>
      </c>
      <c r="S8">
        <v>2500</v>
      </c>
      <c r="T8">
        <v>-1100</v>
      </c>
      <c r="U8" t="s">
        <v>106</v>
      </c>
      <c r="V8">
        <v>0</v>
      </c>
    </row>
    <row r="9" spans="1:22" x14ac:dyDescent="0.25">
      <c r="A9" t="s">
        <v>47</v>
      </c>
      <c r="B9" s="1">
        <v>45328</v>
      </c>
      <c r="C9" t="s">
        <v>28</v>
      </c>
      <c r="D9" t="s">
        <v>29</v>
      </c>
      <c r="E9" t="s">
        <v>37</v>
      </c>
      <c r="F9" t="s">
        <v>31</v>
      </c>
      <c r="G9">
        <v>2000</v>
      </c>
      <c r="H9">
        <v>2000</v>
      </c>
      <c r="I9" t="s">
        <v>32</v>
      </c>
      <c r="J9" s="1">
        <v>45350</v>
      </c>
      <c r="K9" s="1">
        <v>45350</v>
      </c>
      <c r="L9" s="1">
        <v>45354</v>
      </c>
      <c r="M9" t="s">
        <v>39</v>
      </c>
      <c r="N9" t="s">
        <v>111</v>
      </c>
      <c r="O9">
        <v>4</v>
      </c>
      <c r="P9" t="s">
        <v>112</v>
      </c>
      <c r="Q9">
        <v>9</v>
      </c>
      <c r="R9">
        <v>10200</v>
      </c>
      <c r="S9">
        <v>500</v>
      </c>
      <c r="T9">
        <v>1500</v>
      </c>
      <c r="U9" t="s">
        <v>106</v>
      </c>
      <c r="V9">
        <v>0</v>
      </c>
    </row>
    <row r="10" spans="1:22" x14ac:dyDescent="0.25">
      <c r="A10" t="s">
        <v>48</v>
      </c>
      <c r="B10" s="1">
        <v>45329</v>
      </c>
      <c r="C10" t="s">
        <v>35</v>
      </c>
      <c r="D10" t="s">
        <v>36</v>
      </c>
      <c r="E10" t="s">
        <v>16</v>
      </c>
      <c r="F10" t="s">
        <v>38</v>
      </c>
      <c r="G10">
        <v>900</v>
      </c>
      <c r="H10">
        <v>900</v>
      </c>
      <c r="I10" t="s">
        <v>18</v>
      </c>
      <c r="J10" s="1">
        <v>45336</v>
      </c>
      <c r="K10" s="1">
        <v>45337</v>
      </c>
      <c r="L10" s="1">
        <v>45339</v>
      </c>
      <c r="M10" t="s">
        <v>19</v>
      </c>
      <c r="N10" t="s">
        <v>109</v>
      </c>
      <c r="O10">
        <v>2</v>
      </c>
      <c r="P10" t="s">
        <v>112</v>
      </c>
      <c r="Q10">
        <v>9</v>
      </c>
      <c r="R10">
        <v>4600</v>
      </c>
      <c r="S10">
        <v>1150</v>
      </c>
      <c r="T10">
        <v>-250</v>
      </c>
      <c r="U10" t="s">
        <v>106</v>
      </c>
      <c r="V10">
        <v>0</v>
      </c>
    </row>
    <row r="11" spans="1:22" x14ac:dyDescent="0.25">
      <c r="A11" t="s">
        <v>49</v>
      </c>
      <c r="B11" s="1">
        <v>45329</v>
      </c>
      <c r="C11" t="s">
        <v>41</v>
      </c>
      <c r="D11" t="s">
        <v>42</v>
      </c>
      <c r="E11" t="s">
        <v>23</v>
      </c>
      <c r="F11" t="s">
        <v>43</v>
      </c>
      <c r="G11">
        <v>2500</v>
      </c>
      <c r="H11">
        <v>2300</v>
      </c>
      <c r="I11" t="s">
        <v>44</v>
      </c>
      <c r="J11" s="1">
        <v>45351</v>
      </c>
      <c r="K11" s="1">
        <v>45354</v>
      </c>
      <c r="L11" s="1">
        <v>45361</v>
      </c>
      <c r="M11" t="s">
        <v>26</v>
      </c>
      <c r="N11" t="s">
        <v>109</v>
      </c>
      <c r="O11">
        <v>7</v>
      </c>
      <c r="P11" t="s">
        <v>110</v>
      </c>
      <c r="Q11">
        <v>9</v>
      </c>
      <c r="R11">
        <v>12850</v>
      </c>
      <c r="S11">
        <v>3000</v>
      </c>
      <c r="T11">
        <v>-700</v>
      </c>
      <c r="U11" t="s">
        <v>106</v>
      </c>
      <c r="V11">
        <v>200</v>
      </c>
    </row>
    <row r="12" spans="1:22" x14ac:dyDescent="0.25">
      <c r="A12" t="s">
        <v>50</v>
      </c>
      <c r="B12" s="1">
        <v>45330</v>
      </c>
      <c r="C12" t="s">
        <v>14</v>
      </c>
      <c r="D12" t="s">
        <v>15</v>
      </c>
      <c r="E12" t="s">
        <v>30</v>
      </c>
      <c r="F12" t="s">
        <v>17</v>
      </c>
      <c r="G12">
        <v>1200</v>
      </c>
      <c r="H12">
        <v>1200</v>
      </c>
      <c r="I12" t="s">
        <v>18</v>
      </c>
      <c r="J12" s="1">
        <v>45345</v>
      </c>
      <c r="K12" s="1">
        <v>45345</v>
      </c>
      <c r="L12" s="1">
        <v>45349</v>
      </c>
      <c r="M12" t="s">
        <v>33</v>
      </c>
      <c r="N12" t="s">
        <v>111</v>
      </c>
      <c r="O12">
        <v>4</v>
      </c>
      <c r="P12" t="s">
        <v>112</v>
      </c>
      <c r="Q12">
        <v>9</v>
      </c>
      <c r="R12">
        <v>6200</v>
      </c>
      <c r="S12">
        <v>1000</v>
      </c>
      <c r="T12">
        <v>200</v>
      </c>
      <c r="U12" t="s">
        <v>106</v>
      </c>
      <c r="V12">
        <v>0</v>
      </c>
    </row>
    <row r="13" spans="1:22" x14ac:dyDescent="0.25">
      <c r="A13" t="s">
        <v>51</v>
      </c>
      <c r="B13" s="1">
        <v>45330</v>
      </c>
      <c r="C13" t="s">
        <v>21</v>
      </c>
      <c r="D13" t="s">
        <v>22</v>
      </c>
      <c r="E13" t="s">
        <v>37</v>
      </c>
      <c r="F13" t="s">
        <v>24</v>
      </c>
      <c r="G13">
        <v>1800</v>
      </c>
      <c r="H13">
        <v>1800</v>
      </c>
      <c r="I13" t="s">
        <v>25</v>
      </c>
      <c r="J13" s="1">
        <v>45350</v>
      </c>
      <c r="K13" s="1">
        <v>45350</v>
      </c>
      <c r="L13" s="1">
        <v>45354</v>
      </c>
      <c r="M13" t="s">
        <v>39</v>
      </c>
      <c r="N13" t="s">
        <v>111</v>
      </c>
      <c r="O13">
        <v>4</v>
      </c>
      <c r="P13" t="s">
        <v>112</v>
      </c>
      <c r="Q13">
        <v>9</v>
      </c>
      <c r="R13">
        <v>9200</v>
      </c>
      <c r="S13">
        <v>2500</v>
      </c>
      <c r="T13">
        <v>-700</v>
      </c>
      <c r="U13" t="s">
        <v>106</v>
      </c>
      <c r="V13">
        <v>0</v>
      </c>
    </row>
    <row r="14" spans="1:22" x14ac:dyDescent="0.25">
      <c r="A14" t="s">
        <v>52</v>
      </c>
      <c r="B14" s="1">
        <v>45331</v>
      </c>
      <c r="C14" t="s">
        <v>28</v>
      </c>
      <c r="D14" t="s">
        <v>29</v>
      </c>
      <c r="E14" t="s">
        <v>16</v>
      </c>
      <c r="F14" t="s">
        <v>31</v>
      </c>
      <c r="G14">
        <v>600</v>
      </c>
      <c r="H14">
        <v>600</v>
      </c>
      <c r="I14" t="s">
        <v>32</v>
      </c>
      <c r="J14" s="1">
        <v>45352</v>
      </c>
      <c r="K14" s="1">
        <v>45354</v>
      </c>
      <c r="L14" s="1">
        <v>45357</v>
      </c>
      <c r="M14" t="s">
        <v>19</v>
      </c>
      <c r="N14" t="s">
        <v>109</v>
      </c>
      <c r="O14">
        <v>3</v>
      </c>
      <c r="P14" t="s">
        <v>112</v>
      </c>
      <c r="Q14">
        <v>9</v>
      </c>
      <c r="R14">
        <v>3150</v>
      </c>
      <c r="S14">
        <v>500</v>
      </c>
      <c r="T14">
        <v>100</v>
      </c>
      <c r="U14" t="s">
        <v>106</v>
      </c>
      <c r="V14">
        <v>0</v>
      </c>
    </row>
    <row r="15" spans="1:22" x14ac:dyDescent="0.25">
      <c r="A15" t="s">
        <v>53</v>
      </c>
      <c r="B15" s="1">
        <v>45332</v>
      </c>
      <c r="C15" t="s">
        <v>35</v>
      </c>
      <c r="D15" t="s">
        <v>36</v>
      </c>
      <c r="E15" t="s">
        <v>23</v>
      </c>
      <c r="F15" t="s">
        <v>38</v>
      </c>
      <c r="G15">
        <v>2000</v>
      </c>
      <c r="H15">
        <v>1950</v>
      </c>
      <c r="I15" t="s">
        <v>18</v>
      </c>
      <c r="J15" s="1">
        <v>45339</v>
      </c>
      <c r="K15" s="1">
        <v>45339</v>
      </c>
      <c r="L15" s="1">
        <v>45342</v>
      </c>
      <c r="M15" t="s">
        <v>26</v>
      </c>
      <c r="N15" t="s">
        <v>111</v>
      </c>
      <c r="O15">
        <v>3</v>
      </c>
      <c r="P15" t="s">
        <v>112</v>
      </c>
      <c r="Q15">
        <v>9</v>
      </c>
      <c r="R15">
        <v>10150</v>
      </c>
      <c r="S15">
        <v>1150</v>
      </c>
      <c r="T15">
        <v>800</v>
      </c>
      <c r="U15" t="s">
        <v>106</v>
      </c>
      <c r="V15">
        <v>0</v>
      </c>
    </row>
    <row r="16" spans="1:22" x14ac:dyDescent="0.25">
      <c r="A16" t="s">
        <v>54</v>
      </c>
      <c r="B16" s="1">
        <v>45332</v>
      </c>
      <c r="C16" t="s">
        <v>41</v>
      </c>
      <c r="D16" t="s">
        <v>42</v>
      </c>
      <c r="E16" t="s">
        <v>30</v>
      </c>
      <c r="F16" t="s">
        <v>43</v>
      </c>
      <c r="G16">
        <v>1800</v>
      </c>
      <c r="H16">
        <v>1800</v>
      </c>
      <c r="I16" t="s">
        <v>44</v>
      </c>
      <c r="J16" s="1">
        <v>45353</v>
      </c>
      <c r="K16" s="1">
        <v>45356</v>
      </c>
      <c r="L16" s="1">
        <v>45363</v>
      </c>
      <c r="M16" t="s">
        <v>33</v>
      </c>
      <c r="N16" t="s">
        <v>109</v>
      </c>
      <c r="O16">
        <v>7</v>
      </c>
      <c r="P16" t="s">
        <v>110</v>
      </c>
      <c r="Q16">
        <v>9</v>
      </c>
      <c r="R16">
        <v>9350</v>
      </c>
      <c r="S16">
        <v>3000</v>
      </c>
      <c r="T16">
        <v>-1200</v>
      </c>
      <c r="U16" t="s">
        <v>106</v>
      </c>
      <c r="V16">
        <v>200</v>
      </c>
    </row>
    <row r="17" spans="1:22" x14ac:dyDescent="0.25">
      <c r="A17" t="s">
        <v>55</v>
      </c>
      <c r="B17" s="1">
        <v>45333</v>
      </c>
      <c r="C17" t="s">
        <v>14</v>
      </c>
      <c r="D17" t="s">
        <v>15</v>
      </c>
      <c r="E17" t="s">
        <v>37</v>
      </c>
      <c r="F17" t="s">
        <v>17</v>
      </c>
      <c r="G17">
        <v>1500</v>
      </c>
      <c r="H17">
        <v>1500</v>
      </c>
      <c r="I17" t="s">
        <v>18</v>
      </c>
      <c r="J17" s="1">
        <v>45348</v>
      </c>
      <c r="K17" s="1">
        <v>45349</v>
      </c>
      <c r="L17" s="1">
        <v>45354</v>
      </c>
      <c r="M17" t="s">
        <v>39</v>
      </c>
      <c r="N17" t="s">
        <v>109</v>
      </c>
      <c r="O17">
        <v>5</v>
      </c>
      <c r="P17" t="s">
        <v>110</v>
      </c>
      <c r="Q17">
        <v>9</v>
      </c>
      <c r="R17">
        <v>7750</v>
      </c>
      <c r="S17">
        <v>1000</v>
      </c>
      <c r="T17">
        <v>500</v>
      </c>
      <c r="U17" t="s">
        <v>106</v>
      </c>
      <c r="V17">
        <v>0</v>
      </c>
    </row>
    <row r="18" spans="1:22" x14ac:dyDescent="0.25">
      <c r="A18" t="s">
        <v>56</v>
      </c>
      <c r="B18" s="1">
        <v>45333</v>
      </c>
      <c r="C18" t="s">
        <v>21</v>
      </c>
      <c r="D18" t="s">
        <v>22</v>
      </c>
      <c r="E18" t="s">
        <v>16</v>
      </c>
      <c r="F18" t="s">
        <v>24</v>
      </c>
      <c r="G18">
        <v>2200</v>
      </c>
      <c r="H18">
        <v>2150</v>
      </c>
      <c r="I18" t="s">
        <v>25</v>
      </c>
      <c r="J18" s="1">
        <v>45352</v>
      </c>
      <c r="K18" s="1">
        <v>45352</v>
      </c>
      <c r="L18" s="1">
        <v>45356</v>
      </c>
      <c r="M18" t="s">
        <v>19</v>
      </c>
      <c r="N18" t="s">
        <v>111</v>
      </c>
      <c r="O18">
        <v>4</v>
      </c>
      <c r="P18" t="s">
        <v>112</v>
      </c>
      <c r="Q18">
        <v>9</v>
      </c>
      <c r="R18">
        <v>11200</v>
      </c>
      <c r="S18">
        <v>2500</v>
      </c>
      <c r="T18">
        <v>-350</v>
      </c>
      <c r="U18" t="s">
        <v>106</v>
      </c>
      <c r="V18">
        <v>0</v>
      </c>
    </row>
    <row r="19" spans="1:22" x14ac:dyDescent="0.25">
      <c r="A19" t="s">
        <v>57</v>
      </c>
      <c r="B19" s="1">
        <v>45334</v>
      </c>
      <c r="C19" t="s">
        <v>28</v>
      </c>
      <c r="D19" t="s">
        <v>29</v>
      </c>
      <c r="E19" t="s">
        <v>23</v>
      </c>
      <c r="F19" t="s">
        <v>31</v>
      </c>
      <c r="G19">
        <v>900</v>
      </c>
      <c r="H19">
        <v>900</v>
      </c>
      <c r="I19" t="s">
        <v>32</v>
      </c>
      <c r="J19" s="1">
        <v>45355</v>
      </c>
      <c r="K19" s="1">
        <v>45354</v>
      </c>
      <c r="L19" s="1">
        <v>45359</v>
      </c>
      <c r="M19" t="s">
        <v>26</v>
      </c>
      <c r="N19" t="s">
        <v>113</v>
      </c>
      <c r="O19">
        <v>5</v>
      </c>
      <c r="P19" t="s">
        <v>112</v>
      </c>
      <c r="Q19">
        <v>9</v>
      </c>
      <c r="R19">
        <v>4750</v>
      </c>
      <c r="S19">
        <v>500</v>
      </c>
      <c r="T19">
        <v>400</v>
      </c>
      <c r="U19" t="s">
        <v>106</v>
      </c>
      <c r="V19">
        <v>0</v>
      </c>
    </row>
    <row r="20" spans="1:22" x14ac:dyDescent="0.25">
      <c r="A20" t="s">
        <v>58</v>
      </c>
      <c r="B20" s="1">
        <v>45335</v>
      </c>
      <c r="C20" t="s">
        <v>35</v>
      </c>
      <c r="D20" t="s">
        <v>36</v>
      </c>
      <c r="E20" t="s">
        <v>30</v>
      </c>
      <c r="F20" t="s">
        <v>38</v>
      </c>
      <c r="G20">
        <v>700</v>
      </c>
      <c r="H20">
        <v>700</v>
      </c>
      <c r="I20" t="s">
        <v>18</v>
      </c>
      <c r="J20" s="1">
        <v>45342</v>
      </c>
      <c r="K20" s="1">
        <v>45342</v>
      </c>
      <c r="L20" s="1">
        <v>45344</v>
      </c>
      <c r="M20" t="s">
        <v>33</v>
      </c>
      <c r="N20" t="s">
        <v>111</v>
      </c>
      <c r="O20">
        <v>2</v>
      </c>
      <c r="P20" t="s">
        <v>112</v>
      </c>
      <c r="Q20">
        <v>9</v>
      </c>
      <c r="R20">
        <v>3600</v>
      </c>
      <c r="S20">
        <v>1150</v>
      </c>
      <c r="T20">
        <v>-450</v>
      </c>
      <c r="U20" t="s">
        <v>106</v>
      </c>
      <c r="V20">
        <v>0</v>
      </c>
    </row>
    <row r="21" spans="1:22" x14ac:dyDescent="0.25">
      <c r="A21" t="s">
        <v>59</v>
      </c>
      <c r="B21" s="1">
        <v>45335</v>
      </c>
      <c r="C21" t="s">
        <v>41</v>
      </c>
      <c r="D21" t="s">
        <v>42</v>
      </c>
      <c r="E21" t="s">
        <v>37</v>
      </c>
      <c r="F21" t="s">
        <v>43</v>
      </c>
      <c r="G21">
        <v>3200</v>
      </c>
      <c r="H21">
        <v>3000</v>
      </c>
      <c r="I21" t="s">
        <v>44</v>
      </c>
      <c r="J21" s="1">
        <v>45356</v>
      </c>
      <c r="K21" s="1">
        <v>45358</v>
      </c>
      <c r="L21" s="1">
        <v>45366</v>
      </c>
      <c r="M21" t="s">
        <v>39</v>
      </c>
      <c r="N21" t="s">
        <v>109</v>
      </c>
      <c r="O21">
        <v>8</v>
      </c>
      <c r="P21" t="s">
        <v>110</v>
      </c>
      <c r="Q21">
        <v>9</v>
      </c>
      <c r="R21">
        <v>16400</v>
      </c>
      <c r="S21">
        <v>3000</v>
      </c>
      <c r="T21">
        <v>0</v>
      </c>
      <c r="U21" t="s">
        <v>105</v>
      </c>
      <c r="V21">
        <v>300</v>
      </c>
    </row>
    <row r="22" spans="1:22" x14ac:dyDescent="0.25">
      <c r="A22" t="s">
        <v>60</v>
      </c>
      <c r="B22" s="1">
        <v>45336</v>
      </c>
      <c r="C22" t="s">
        <v>14</v>
      </c>
      <c r="D22" t="s">
        <v>15</v>
      </c>
      <c r="E22" t="s">
        <v>16</v>
      </c>
      <c r="F22" t="s">
        <v>17</v>
      </c>
      <c r="G22">
        <v>950</v>
      </c>
      <c r="H22">
        <v>950</v>
      </c>
      <c r="I22" t="s">
        <v>18</v>
      </c>
      <c r="J22" s="1">
        <v>45351</v>
      </c>
      <c r="K22" s="1">
        <v>45352</v>
      </c>
      <c r="L22" s="1">
        <v>45356</v>
      </c>
      <c r="M22" t="s">
        <v>19</v>
      </c>
      <c r="N22" t="s">
        <v>109</v>
      </c>
      <c r="O22">
        <v>4</v>
      </c>
      <c r="P22" t="s">
        <v>110</v>
      </c>
      <c r="Q22">
        <v>9</v>
      </c>
      <c r="R22">
        <v>4950</v>
      </c>
      <c r="S22">
        <v>1000</v>
      </c>
      <c r="T22">
        <v>-50</v>
      </c>
      <c r="U22" t="s">
        <v>106</v>
      </c>
      <c r="V22">
        <v>0</v>
      </c>
    </row>
    <row r="23" spans="1:22" x14ac:dyDescent="0.25">
      <c r="A23" t="s">
        <v>61</v>
      </c>
      <c r="B23" s="1">
        <v>45336</v>
      </c>
      <c r="C23" t="s">
        <v>21</v>
      </c>
      <c r="D23" t="s">
        <v>22</v>
      </c>
      <c r="E23" t="s">
        <v>23</v>
      </c>
      <c r="F23" t="s">
        <v>24</v>
      </c>
      <c r="G23">
        <v>2700</v>
      </c>
      <c r="H23">
        <v>2700</v>
      </c>
      <c r="I23" t="s">
        <v>25</v>
      </c>
      <c r="J23" s="1">
        <v>45355</v>
      </c>
      <c r="K23" s="1">
        <v>45356</v>
      </c>
      <c r="L23" s="1">
        <v>45360</v>
      </c>
      <c r="M23" t="s">
        <v>26</v>
      </c>
      <c r="N23" t="s">
        <v>109</v>
      </c>
      <c r="O23">
        <v>4</v>
      </c>
      <c r="P23" t="s">
        <v>110</v>
      </c>
      <c r="Q23">
        <v>9</v>
      </c>
      <c r="R23">
        <v>13700</v>
      </c>
      <c r="S23">
        <v>2500</v>
      </c>
      <c r="T23">
        <v>200</v>
      </c>
      <c r="U23" t="s">
        <v>106</v>
      </c>
      <c r="V23">
        <v>0</v>
      </c>
    </row>
    <row r="24" spans="1:22" x14ac:dyDescent="0.25">
      <c r="A24" t="s">
        <v>62</v>
      </c>
      <c r="B24" s="1">
        <v>45337</v>
      </c>
      <c r="C24" t="s">
        <v>28</v>
      </c>
      <c r="D24" t="s">
        <v>29</v>
      </c>
      <c r="E24" t="s">
        <v>30</v>
      </c>
      <c r="F24" t="s">
        <v>31</v>
      </c>
      <c r="G24">
        <v>1100</v>
      </c>
      <c r="H24">
        <v>1100</v>
      </c>
      <c r="I24" t="s">
        <v>32</v>
      </c>
      <c r="J24" s="1">
        <v>45358</v>
      </c>
      <c r="K24" s="1">
        <v>45358</v>
      </c>
      <c r="L24" s="1">
        <v>45362</v>
      </c>
      <c r="M24" t="s">
        <v>33</v>
      </c>
      <c r="N24" t="s">
        <v>111</v>
      </c>
      <c r="O24">
        <v>4</v>
      </c>
      <c r="P24" t="s">
        <v>112</v>
      </c>
      <c r="Q24">
        <v>9</v>
      </c>
      <c r="R24">
        <v>5700</v>
      </c>
      <c r="S24">
        <v>500</v>
      </c>
      <c r="T24">
        <v>600</v>
      </c>
      <c r="U24" t="s">
        <v>106</v>
      </c>
      <c r="V24">
        <v>0</v>
      </c>
    </row>
    <row r="25" spans="1:22" x14ac:dyDescent="0.25">
      <c r="A25" t="s">
        <v>63</v>
      </c>
      <c r="B25" s="1">
        <v>45338</v>
      </c>
      <c r="C25" t="s">
        <v>35</v>
      </c>
      <c r="D25" t="s">
        <v>36</v>
      </c>
      <c r="E25" t="s">
        <v>37</v>
      </c>
      <c r="F25" t="s">
        <v>38</v>
      </c>
      <c r="G25">
        <v>850</v>
      </c>
      <c r="H25">
        <v>800</v>
      </c>
      <c r="I25" t="s">
        <v>18</v>
      </c>
      <c r="J25" s="1">
        <v>45345</v>
      </c>
      <c r="K25" s="1">
        <v>45345</v>
      </c>
      <c r="L25" s="1">
        <v>45347</v>
      </c>
      <c r="M25" t="s">
        <v>39</v>
      </c>
      <c r="N25" t="s">
        <v>111</v>
      </c>
      <c r="O25">
        <v>2</v>
      </c>
      <c r="P25" t="s">
        <v>112</v>
      </c>
      <c r="Q25">
        <v>9</v>
      </c>
      <c r="R25">
        <v>4350</v>
      </c>
      <c r="S25">
        <v>1150</v>
      </c>
      <c r="T25">
        <v>-350</v>
      </c>
      <c r="U25" t="s">
        <v>106</v>
      </c>
      <c r="V25">
        <v>0</v>
      </c>
    </row>
    <row r="26" spans="1:22" x14ac:dyDescent="0.25">
      <c r="A26" t="s">
        <v>64</v>
      </c>
      <c r="B26" s="1">
        <v>45338</v>
      </c>
      <c r="C26" t="s">
        <v>41</v>
      </c>
      <c r="D26" t="s">
        <v>42</v>
      </c>
      <c r="E26" t="s">
        <v>16</v>
      </c>
      <c r="F26" t="s">
        <v>43</v>
      </c>
      <c r="G26">
        <v>2800</v>
      </c>
      <c r="H26">
        <v>2800</v>
      </c>
      <c r="I26" t="s">
        <v>44</v>
      </c>
      <c r="J26" s="1">
        <v>45359</v>
      </c>
      <c r="K26" s="1">
        <v>45363</v>
      </c>
      <c r="L26" s="1">
        <v>45370</v>
      </c>
      <c r="M26" t="s">
        <v>19</v>
      </c>
      <c r="N26" t="s">
        <v>109</v>
      </c>
      <c r="O26">
        <v>7</v>
      </c>
      <c r="P26" t="s">
        <v>110</v>
      </c>
      <c r="Q26">
        <v>9</v>
      </c>
      <c r="R26">
        <v>14350</v>
      </c>
      <c r="S26">
        <v>3000</v>
      </c>
      <c r="T26">
        <v>-200</v>
      </c>
      <c r="U26" t="s">
        <v>106</v>
      </c>
      <c r="V26">
        <v>200</v>
      </c>
    </row>
    <row r="27" spans="1:22" x14ac:dyDescent="0.25">
      <c r="A27" t="s">
        <v>65</v>
      </c>
      <c r="B27" s="1">
        <v>45339</v>
      </c>
      <c r="C27" t="s">
        <v>14</v>
      </c>
      <c r="D27" t="s">
        <v>15</v>
      </c>
      <c r="E27" t="s">
        <v>23</v>
      </c>
      <c r="F27" t="s">
        <v>17</v>
      </c>
      <c r="G27">
        <v>1300</v>
      </c>
      <c r="H27">
        <v>1250</v>
      </c>
      <c r="I27" t="s">
        <v>18</v>
      </c>
      <c r="J27" s="1">
        <v>45354</v>
      </c>
      <c r="K27" s="1">
        <v>45355</v>
      </c>
      <c r="L27" s="1">
        <v>45359</v>
      </c>
      <c r="M27" t="s">
        <v>26</v>
      </c>
      <c r="N27" t="s">
        <v>109</v>
      </c>
      <c r="O27">
        <v>4</v>
      </c>
      <c r="P27" t="s">
        <v>110</v>
      </c>
      <c r="Q27">
        <v>9</v>
      </c>
      <c r="R27">
        <v>6700</v>
      </c>
      <c r="S27">
        <v>1000</v>
      </c>
      <c r="T27">
        <v>250</v>
      </c>
      <c r="U27" t="s">
        <v>106</v>
      </c>
      <c r="V27">
        <v>0</v>
      </c>
    </row>
    <row r="28" spans="1:22" x14ac:dyDescent="0.25">
      <c r="A28" t="s">
        <v>66</v>
      </c>
      <c r="B28" s="1">
        <v>45339</v>
      </c>
      <c r="C28" t="s">
        <v>21</v>
      </c>
      <c r="D28" t="s">
        <v>22</v>
      </c>
      <c r="E28" t="s">
        <v>30</v>
      </c>
      <c r="F28" t="s">
        <v>24</v>
      </c>
      <c r="G28">
        <v>1900</v>
      </c>
      <c r="H28">
        <v>1900</v>
      </c>
      <c r="I28" t="s">
        <v>25</v>
      </c>
      <c r="J28" s="1">
        <v>45354</v>
      </c>
      <c r="K28" s="1">
        <v>45354</v>
      </c>
      <c r="L28" s="1">
        <v>45358</v>
      </c>
      <c r="M28" t="s">
        <v>33</v>
      </c>
      <c r="N28" t="s">
        <v>111</v>
      </c>
      <c r="O28">
        <v>4</v>
      </c>
      <c r="P28" t="s">
        <v>112</v>
      </c>
      <c r="Q28">
        <v>9</v>
      </c>
      <c r="R28">
        <v>9700</v>
      </c>
      <c r="S28">
        <v>2500</v>
      </c>
      <c r="T28">
        <v>-600</v>
      </c>
      <c r="U28" t="s">
        <v>106</v>
      </c>
      <c r="V28">
        <v>0</v>
      </c>
    </row>
    <row r="29" spans="1:22" x14ac:dyDescent="0.25">
      <c r="A29" t="s">
        <v>67</v>
      </c>
      <c r="B29" s="1">
        <v>45340</v>
      </c>
      <c r="C29" t="s">
        <v>28</v>
      </c>
      <c r="D29" t="s">
        <v>29</v>
      </c>
      <c r="E29" t="s">
        <v>37</v>
      </c>
      <c r="F29" t="s">
        <v>31</v>
      </c>
      <c r="G29">
        <v>750</v>
      </c>
      <c r="H29">
        <v>750</v>
      </c>
      <c r="I29" t="s">
        <v>32</v>
      </c>
      <c r="J29" s="1">
        <v>45360</v>
      </c>
      <c r="K29" s="1">
        <v>45362</v>
      </c>
      <c r="L29" s="1">
        <v>45365</v>
      </c>
      <c r="M29" t="s">
        <v>39</v>
      </c>
      <c r="N29" t="s">
        <v>109</v>
      </c>
      <c r="O29">
        <v>3</v>
      </c>
      <c r="P29" t="s">
        <v>112</v>
      </c>
      <c r="Q29">
        <v>9</v>
      </c>
      <c r="R29">
        <v>3900</v>
      </c>
      <c r="S29">
        <v>500</v>
      </c>
      <c r="T29">
        <v>250</v>
      </c>
      <c r="U29" t="s">
        <v>106</v>
      </c>
      <c r="V29">
        <v>0</v>
      </c>
    </row>
    <row r="30" spans="1:22" x14ac:dyDescent="0.25">
      <c r="A30" t="s">
        <v>68</v>
      </c>
      <c r="B30" s="1">
        <v>45341</v>
      </c>
      <c r="C30" t="s">
        <v>35</v>
      </c>
      <c r="D30" t="s">
        <v>36</v>
      </c>
      <c r="E30" t="s">
        <v>16</v>
      </c>
      <c r="F30" t="s">
        <v>38</v>
      </c>
      <c r="G30">
        <v>1600</v>
      </c>
      <c r="H30">
        <v>1550</v>
      </c>
      <c r="I30" t="s">
        <v>18</v>
      </c>
      <c r="J30" s="1">
        <v>45348</v>
      </c>
      <c r="K30" s="1">
        <v>45348</v>
      </c>
      <c r="L30" s="1">
        <v>45350</v>
      </c>
      <c r="M30" t="s">
        <v>19</v>
      </c>
      <c r="N30" t="s">
        <v>111</v>
      </c>
      <c r="O30">
        <v>2</v>
      </c>
      <c r="P30" t="s">
        <v>112</v>
      </c>
      <c r="Q30">
        <v>9</v>
      </c>
      <c r="R30">
        <v>8100</v>
      </c>
      <c r="S30">
        <v>1150</v>
      </c>
      <c r="T30">
        <v>400</v>
      </c>
      <c r="U30" t="s">
        <v>106</v>
      </c>
      <c r="V30">
        <v>0</v>
      </c>
    </row>
    <row r="31" spans="1:22" x14ac:dyDescent="0.25">
      <c r="A31" t="s">
        <v>69</v>
      </c>
      <c r="B31" s="1">
        <v>45341</v>
      </c>
      <c r="C31" t="s">
        <v>41</v>
      </c>
      <c r="D31" t="s">
        <v>42</v>
      </c>
      <c r="E31" t="s">
        <v>23</v>
      </c>
      <c r="F31" t="s">
        <v>43</v>
      </c>
      <c r="G31">
        <v>2100</v>
      </c>
      <c r="H31">
        <v>2000</v>
      </c>
      <c r="I31" t="s">
        <v>44</v>
      </c>
      <c r="J31" s="1">
        <v>45362</v>
      </c>
      <c r="K31" s="1">
        <v>45365</v>
      </c>
      <c r="L31" s="1">
        <v>45373</v>
      </c>
      <c r="M31" t="s">
        <v>26</v>
      </c>
      <c r="N31" t="s">
        <v>109</v>
      </c>
      <c r="O31">
        <v>8</v>
      </c>
      <c r="P31" t="s">
        <v>110</v>
      </c>
      <c r="Q31">
        <v>9</v>
      </c>
      <c r="R31">
        <v>10900</v>
      </c>
      <c r="S31">
        <v>3000</v>
      </c>
      <c r="T31">
        <v>-1000</v>
      </c>
      <c r="U31" t="s">
        <v>106</v>
      </c>
      <c r="V31">
        <v>300</v>
      </c>
    </row>
    <row r="32" spans="1:22" x14ac:dyDescent="0.25">
      <c r="A32" t="s">
        <v>70</v>
      </c>
      <c r="B32" s="1">
        <v>45342</v>
      </c>
      <c r="C32" t="s">
        <v>14</v>
      </c>
      <c r="D32" t="s">
        <v>15</v>
      </c>
      <c r="E32" t="s">
        <v>30</v>
      </c>
      <c r="F32" t="s">
        <v>17</v>
      </c>
      <c r="G32">
        <v>1400</v>
      </c>
      <c r="H32">
        <v>1400</v>
      </c>
      <c r="I32" t="s">
        <v>18</v>
      </c>
      <c r="J32" s="1">
        <v>45357</v>
      </c>
      <c r="K32" s="1">
        <v>45357</v>
      </c>
      <c r="L32" s="1">
        <v>45361</v>
      </c>
      <c r="M32" t="s">
        <v>33</v>
      </c>
      <c r="N32" t="s">
        <v>111</v>
      </c>
      <c r="O32">
        <v>4</v>
      </c>
      <c r="P32" t="s">
        <v>112</v>
      </c>
      <c r="Q32">
        <v>9</v>
      </c>
      <c r="R32">
        <v>7200</v>
      </c>
      <c r="S32">
        <v>1000</v>
      </c>
      <c r="T32">
        <v>400</v>
      </c>
      <c r="U32" t="s">
        <v>106</v>
      </c>
      <c r="V32">
        <v>0</v>
      </c>
    </row>
    <row r="33" spans="1:22" x14ac:dyDescent="0.25">
      <c r="A33" t="s">
        <v>71</v>
      </c>
      <c r="B33" s="1">
        <v>45342</v>
      </c>
      <c r="C33" t="s">
        <v>21</v>
      </c>
      <c r="D33" t="s">
        <v>22</v>
      </c>
      <c r="E33" t="s">
        <v>37</v>
      </c>
      <c r="F33" t="s">
        <v>24</v>
      </c>
      <c r="G33">
        <v>2300</v>
      </c>
      <c r="H33">
        <v>2300</v>
      </c>
      <c r="I33" t="s">
        <v>25</v>
      </c>
      <c r="J33" s="1">
        <v>45357</v>
      </c>
      <c r="K33" s="1">
        <v>45357</v>
      </c>
      <c r="L33" s="1">
        <v>45361</v>
      </c>
      <c r="M33" t="s">
        <v>39</v>
      </c>
      <c r="N33" t="s">
        <v>111</v>
      </c>
      <c r="O33">
        <v>4</v>
      </c>
      <c r="P33" t="s">
        <v>112</v>
      </c>
      <c r="Q33">
        <v>9</v>
      </c>
      <c r="R33">
        <v>11700</v>
      </c>
      <c r="S33">
        <v>2500</v>
      </c>
      <c r="T33">
        <v>-200</v>
      </c>
      <c r="U33" t="s">
        <v>106</v>
      </c>
      <c r="V33">
        <v>0</v>
      </c>
    </row>
    <row r="34" spans="1:22" x14ac:dyDescent="0.25">
      <c r="A34" t="s">
        <v>72</v>
      </c>
      <c r="B34" s="1">
        <v>45343</v>
      </c>
      <c r="C34" t="s">
        <v>28</v>
      </c>
      <c r="D34" t="s">
        <v>29</v>
      </c>
      <c r="E34" t="s">
        <v>16</v>
      </c>
      <c r="F34" t="s">
        <v>31</v>
      </c>
      <c r="G34">
        <v>1050</v>
      </c>
      <c r="H34">
        <v>1050</v>
      </c>
      <c r="I34" t="s">
        <v>32</v>
      </c>
      <c r="J34" s="1">
        <v>45363</v>
      </c>
      <c r="K34" s="1">
        <v>45365</v>
      </c>
      <c r="L34" s="1">
        <v>45368</v>
      </c>
      <c r="M34" t="s">
        <v>19</v>
      </c>
      <c r="N34" t="s">
        <v>109</v>
      </c>
      <c r="O34">
        <v>3</v>
      </c>
      <c r="P34" t="s">
        <v>112</v>
      </c>
      <c r="Q34">
        <v>9</v>
      </c>
      <c r="R34">
        <v>5400</v>
      </c>
      <c r="S34">
        <v>500</v>
      </c>
      <c r="T34">
        <v>550</v>
      </c>
      <c r="U34" t="s">
        <v>106</v>
      </c>
      <c r="V34">
        <v>0</v>
      </c>
    </row>
    <row r="35" spans="1:22" x14ac:dyDescent="0.25">
      <c r="A35" t="s">
        <v>73</v>
      </c>
      <c r="B35" s="1">
        <v>45344</v>
      </c>
      <c r="C35" t="s">
        <v>35</v>
      </c>
      <c r="D35" t="s">
        <v>36</v>
      </c>
      <c r="E35" t="s">
        <v>23</v>
      </c>
      <c r="F35" t="s">
        <v>38</v>
      </c>
      <c r="G35">
        <v>950</v>
      </c>
      <c r="H35">
        <v>900</v>
      </c>
      <c r="I35" t="s">
        <v>18</v>
      </c>
      <c r="J35" s="1">
        <v>45352</v>
      </c>
      <c r="K35" s="1">
        <v>45352</v>
      </c>
      <c r="L35" s="1">
        <v>45354</v>
      </c>
      <c r="M35" t="s">
        <v>26</v>
      </c>
      <c r="N35" t="s">
        <v>111</v>
      </c>
      <c r="O35">
        <v>2</v>
      </c>
      <c r="P35" t="s">
        <v>112</v>
      </c>
      <c r="Q35">
        <v>9</v>
      </c>
      <c r="R35">
        <v>4850</v>
      </c>
      <c r="S35">
        <v>1150</v>
      </c>
      <c r="T35">
        <v>-250</v>
      </c>
      <c r="U35" t="s">
        <v>106</v>
      </c>
      <c r="V35">
        <v>0</v>
      </c>
    </row>
    <row r="36" spans="1:22" x14ac:dyDescent="0.25">
      <c r="A36" t="s">
        <v>74</v>
      </c>
      <c r="B36" s="1">
        <v>45344</v>
      </c>
      <c r="C36" t="s">
        <v>41</v>
      </c>
      <c r="D36" t="s">
        <v>42</v>
      </c>
      <c r="E36" t="s">
        <v>30</v>
      </c>
      <c r="F36" t="s">
        <v>43</v>
      </c>
      <c r="G36">
        <v>2600</v>
      </c>
      <c r="H36">
        <v>2600</v>
      </c>
      <c r="I36" t="s">
        <v>44</v>
      </c>
      <c r="J36" s="1">
        <v>45365</v>
      </c>
      <c r="K36" s="1">
        <v>45368</v>
      </c>
      <c r="L36" s="1">
        <v>45375</v>
      </c>
      <c r="M36" t="s">
        <v>33</v>
      </c>
      <c r="N36" t="s">
        <v>109</v>
      </c>
      <c r="O36">
        <v>7</v>
      </c>
      <c r="P36" t="s">
        <v>110</v>
      </c>
      <c r="Q36">
        <v>9</v>
      </c>
      <c r="R36">
        <v>13350</v>
      </c>
      <c r="S36">
        <v>3000</v>
      </c>
      <c r="T36">
        <v>-400</v>
      </c>
      <c r="U36" t="s">
        <v>106</v>
      </c>
      <c r="V36">
        <v>200</v>
      </c>
    </row>
    <row r="37" spans="1:22" x14ac:dyDescent="0.25">
      <c r="A37" t="s">
        <v>75</v>
      </c>
      <c r="B37" s="1">
        <v>45345</v>
      </c>
      <c r="C37" t="s">
        <v>14</v>
      </c>
      <c r="D37" t="s">
        <v>15</v>
      </c>
      <c r="E37" t="s">
        <v>37</v>
      </c>
      <c r="F37" t="s">
        <v>17</v>
      </c>
      <c r="G37">
        <v>1100</v>
      </c>
      <c r="H37">
        <v>1100</v>
      </c>
      <c r="I37" t="s">
        <v>18</v>
      </c>
      <c r="J37" s="1">
        <v>45360</v>
      </c>
      <c r="K37" s="1">
        <v>45360</v>
      </c>
      <c r="L37" s="1">
        <v>45364</v>
      </c>
      <c r="M37" t="s">
        <v>39</v>
      </c>
      <c r="N37" t="s">
        <v>111</v>
      </c>
      <c r="O37">
        <v>4</v>
      </c>
      <c r="P37" t="s">
        <v>112</v>
      </c>
      <c r="Q37">
        <v>9</v>
      </c>
      <c r="R37">
        <v>5700</v>
      </c>
      <c r="S37">
        <v>1000</v>
      </c>
      <c r="T37">
        <v>100</v>
      </c>
      <c r="U37" t="s">
        <v>106</v>
      </c>
      <c r="V37">
        <v>0</v>
      </c>
    </row>
    <row r="38" spans="1:22" x14ac:dyDescent="0.25">
      <c r="A38" t="s">
        <v>76</v>
      </c>
      <c r="B38" s="1">
        <v>45345</v>
      </c>
      <c r="C38" t="s">
        <v>21</v>
      </c>
      <c r="D38" t="s">
        <v>22</v>
      </c>
      <c r="E38" t="s">
        <v>16</v>
      </c>
      <c r="F38" t="s">
        <v>24</v>
      </c>
      <c r="G38">
        <v>2000</v>
      </c>
      <c r="H38">
        <v>1950</v>
      </c>
      <c r="I38" t="s">
        <v>25</v>
      </c>
      <c r="J38" s="1">
        <v>45360</v>
      </c>
      <c r="K38" s="1">
        <v>45361</v>
      </c>
      <c r="L38" s="1">
        <v>45365</v>
      </c>
      <c r="M38" t="s">
        <v>19</v>
      </c>
      <c r="N38" t="s">
        <v>109</v>
      </c>
      <c r="O38">
        <v>4</v>
      </c>
      <c r="P38" t="s">
        <v>110</v>
      </c>
      <c r="Q38">
        <v>9</v>
      </c>
      <c r="R38">
        <v>10200</v>
      </c>
      <c r="S38">
        <v>2500</v>
      </c>
      <c r="T38">
        <v>-550</v>
      </c>
      <c r="U38" t="s">
        <v>106</v>
      </c>
      <c r="V38">
        <v>0</v>
      </c>
    </row>
    <row r="39" spans="1:22" x14ac:dyDescent="0.25">
      <c r="A39" t="s">
        <v>77</v>
      </c>
      <c r="B39" s="1">
        <v>45346</v>
      </c>
      <c r="C39" t="s">
        <v>28</v>
      </c>
      <c r="D39" t="s">
        <v>29</v>
      </c>
      <c r="E39" t="s">
        <v>23</v>
      </c>
      <c r="F39" t="s">
        <v>31</v>
      </c>
      <c r="G39">
        <v>650</v>
      </c>
      <c r="H39">
        <v>650</v>
      </c>
      <c r="I39" t="s">
        <v>32</v>
      </c>
      <c r="J39" s="1">
        <v>45366</v>
      </c>
      <c r="K39" s="1">
        <v>45367</v>
      </c>
      <c r="L39" s="1">
        <v>45370</v>
      </c>
      <c r="M39" t="s">
        <v>26</v>
      </c>
      <c r="N39" t="s">
        <v>109</v>
      </c>
      <c r="O39">
        <v>3</v>
      </c>
      <c r="P39" t="s">
        <v>112</v>
      </c>
      <c r="Q39">
        <v>9</v>
      </c>
      <c r="R39">
        <v>3400</v>
      </c>
      <c r="S39">
        <v>500</v>
      </c>
      <c r="T39">
        <v>150</v>
      </c>
      <c r="U39" t="s">
        <v>106</v>
      </c>
      <c r="V39">
        <v>0</v>
      </c>
    </row>
    <row r="40" spans="1:22" x14ac:dyDescent="0.25">
      <c r="A40" t="s">
        <v>78</v>
      </c>
      <c r="B40" s="1">
        <v>45347</v>
      </c>
      <c r="C40" t="s">
        <v>35</v>
      </c>
      <c r="D40" t="s">
        <v>36</v>
      </c>
      <c r="E40" t="s">
        <v>30</v>
      </c>
      <c r="F40" t="s">
        <v>38</v>
      </c>
      <c r="G40">
        <v>1750</v>
      </c>
      <c r="H40">
        <v>1700</v>
      </c>
      <c r="I40" t="s">
        <v>18</v>
      </c>
      <c r="J40" s="1">
        <v>45355</v>
      </c>
      <c r="K40" s="1">
        <v>45355</v>
      </c>
      <c r="L40" s="1">
        <v>45357</v>
      </c>
      <c r="M40" t="s">
        <v>33</v>
      </c>
      <c r="N40" t="s">
        <v>111</v>
      </c>
      <c r="O40">
        <v>2</v>
      </c>
      <c r="P40" t="s">
        <v>112</v>
      </c>
      <c r="Q40">
        <v>9</v>
      </c>
      <c r="R40">
        <v>8850</v>
      </c>
      <c r="S40">
        <v>1150</v>
      </c>
      <c r="T40">
        <v>550</v>
      </c>
      <c r="U40" t="s">
        <v>106</v>
      </c>
      <c r="V40">
        <v>0</v>
      </c>
    </row>
    <row r="41" spans="1:22" x14ac:dyDescent="0.25">
      <c r="A41" t="s">
        <v>79</v>
      </c>
      <c r="B41" s="1">
        <v>45347</v>
      </c>
      <c r="C41" t="s">
        <v>41</v>
      </c>
      <c r="D41" t="s">
        <v>42</v>
      </c>
      <c r="E41" t="s">
        <v>37</v>
      </c>
      <c r="F41" t="s">
        <v>43</v>
      </c>
      <c r="G41">
        <v>2900</v>
      </c>
      <c r="H41">
        <v>2900</v>
      </c>
      <c r="I41" t="s">
        <v>44</v>
      </c>
      <c r="J41" s="1">
        <v>45368</v>
      </c>
      <c r="K41" s="1">
        <v>45370</v>
      </c>
      <c r="L41" s="1">
        <v>45377</v>
      </c>
      <c r="M41" t="s">
        <v>39</v>
      </c>
      <c r="N41" t="s">
        <v>109</v>
      </c>
      <c r="O41">
        <v>7</v>
      </c>
      <c r="P41" t="s">
        <v>110</v>
      </c>
      <c r="Q41">
        <v>9</v>
      </c>
      <c r="R41">
        <v>14850</v>
      </c>
      <c r="S41">
        <v>3000</v>
      </c>
      <c r="T41">
        <v>-100</v>
      </c>
      <c r="U41" t="s">
        <v>106</v>
      </c>
      <c r="V41">
        <v>200</v>
      </c>
    </row>
    <row r="42" spans="1:22" x14ac:dyDescent="0.25">
      <c r="A42" t="s">
        <v>80</v>
      </c>
      <c r="B42" s="1">
        <v>45348</v>
      </c>
      <c r="C42" t="s">
        <v>14</v>
      </c>
      <c r="D42" t="s">
        <v>15</v>
      </c>
      <c r="E42" t="s">
        <v>16</v>
      </c>
      <c r="F42" t="s">
        <v>17</v>
      </c>
      <c r="G42">
        <v>850</v>
      </c>
      <c r="H42">
        <v>850</v>
      </c>
      <c r="I42" t="s">
        <v>18</v>
      </c>
      <c r="J42" s="1">
        <v>45363</v>
      </c>
      <c r="K42" s="1">
        <v>45364</v>
      </c>
      <c r="L42" s="1">
        <v>45368</v>
      </c>
      <c r="M42" t="s">
        <v>19</v>
      </c>
      <c r="N42" t="s">
        <v>109</v>
      </c>
      <c r="O42">
        <v>4</v>
      </c>
      <c r="P42" t="s">
        <v>110</v>
      </c>
      <c r="Q42">
        <v>9</v>
      </c>
      <c r="R42">
        <v>4450</v>
      </c>
      <c r="S42">
        <v>1000</v>
      </c>
      <c r="T42">
        <v>-150</v>
      </c>
      <c r="U42" t="s">
        <v>106</v>
      </c>
      <c r="V42">
        <v>0</v>
      </c>
    </row>
    <row r="43" spans="1:22" x14ac:dyDescent="0.25">
      <c r="A43" t="s">
        <v>81</v>
      </c>
      <c r="B43" s="1">
        <v>45348</v>
      </c>
      <c r="C43" t="s">
        <v>21</v>
      </c>
      <c r="D43" t="s">
        <v>22</v>
      </c>
      <c r="E43" t="s">
        <v>23</v>
      </c>
      <c r="F43" t="s">
        <v>24</v>
      </c>
      <c r="G43">
        <v>2400</v>
      </c>
      <c r="H43">
        <v>2350</v>
      </c>
      <c r="I43" t="s">
        <v>25</v>
      </c>
      <c r="J43" s="1">
        <v>45363</v>
      </c>
      <c r="K43" s="1">
        <v>45363</v>
      </c>
      <c r="L43" s="1">
        <v>45367</v>
      </c>
      <c r="M43" t="s">
        <v>26</v>
      </c>
      <c r="N43" t="s">
        <v>111</v>
      </c>
      <c r="O43">
        <v>4</v>
      </c>
      <c r="P43" t="s">
        <v>112</v>
      </c>
      <c r="Q43">
        <v>9</v>
      </c>
      <c r="R43">
        <v>12200</v>
      </c>
      <c r="S43">
        <v>2500</v>
      </c>
      <c r="T43">
        <v>-150</v>
      </c>
      <c r="U43" t="s">
        <v>106</v>
      </c>
      <c r="V43">
        <v>0</v>
      </c>
    </row>
    <row r="44" spans="1:22" x14ac:dyDescent="0.25">
      <c r="A44" t="s">
        <v>82</v>
      </c>
      <c r="B44" s="1">
        <v>45349</v>
      </c>
      <c r="C44" t="s">
        <v>28</v>
      </c>
      <c r="D44" t="s">
        <v>29</v>
      </c>
      <c r="E44" t="s">
        <v>30</v>
      </c>
      <c r="F44" t="s">
        <v>31</v>
      </c>
      <c r="G44">
        <v>1150</v>
      </c>
      <c r="H44">
        <v>1150</v>
      </c>
      <c r="I44" t="s">
        <v>32</v>
      </c>
      <c r="J44" s="1">
        <v>45369</v>
      </c>
      <c r="K44" s="1">
        <v>45369</v>
      </c>
      <c r="L44" s="1">
        <v>45372</v>
      </c>
      <c r="M44" t="s">
        <v>33</v>
      </c>
      <c r="N44" t="s">
        <v>111</v>
      </c>
      <c r="O44">
        <v>3</v>
      </c>
      <c r="P44" t="s">
        <v>112</v>
      </c>
      <c r="Q44">
        <v>9</v>
      </c>
      <c r="R44">
        <v>5900</v>
      </c>
      <c r="S44">
        <v>500</v>
      </c>
      <c r="T44">
        <v>650</v>
      </c>
      <c r="U44" t="s">
        <v>106</v>
      </c>
      <c r="V44">
        <v>0</v>
      </c>
    </row>
    <row r="45" spans="1:22" x14ac:dyDescent="0.25">
      <c r="A45" t="s">
        <v>83</v>
      </c>
      <c r="B45" s="1">
        <v>45350</v>
      </c>
      <c r="C45" t="s">
        <v>35</v>
      </c>
      <c r="D45" t="s">
        <v>36</v>
      </c>
      <c r="E45" t="s">
        <v>37</v>
      </c>
      <c r="F45" t="s">
        <v>38</v>
      </c>
      <c r="G45">
        <v>1350</v>
      </c>
      <c r="H45">
        <v>1300</v>
      </c>
      <c r="I45" t="s">
        <v>18</v>
      </c>
      <c r="J45" s="1">
        <v>45358</v>
      </c>
      <c r="K45" s="1">
        <v>45358</v>
      </c>
      <c r="L45" s="1">
        <v>45360</v>
      </c>
      <c r="M45" t="s">
        <v>39</v>
      </c>
      <c r="N45" t="s">
        <v>111</v>
      </c>
      <c r="O45">
        <v>2</v>
      </c>
      <c r="P45" t="s">
        <v>112</v>
      </c>
      <c r="Q45">
        <v>9</v>
      </c>
      <c r="R45">
        <v>6850</v>
      </c>
      <c r="S45">
        <v>1150</v>
      </c>
      <c r="T45">
        <v>150</v>
      </c>
      <c r="U45" t="s">
        <v>106</v>
      </c>
      <c r="V45">
        <v>0</v>
      </c>
    </row>
    <row r="46" spans="1:22" x14ac:dyDescent="0.25">
      <c r="A46" t="s">
        <v>84</v>
      </c>
      <c r="B46" s="1">
        <v>45350</v>
      </c>
      <c r="C46" t="s">
        <v>41</v>
      </c>
      <c r="D46" t="s">
        <v>42</v>
      </c>
      <c r="E46" t="s">
        <v>16</v>
      </c>
      <c r="F46" t="s">
        <v>43</v>
      </c>
      <c r="G46">
        <v>3100</v>
      </c>
      <c r="H46">
        <v>3000</v>
      </c>
      <c r="I46" t="s">
        <v>44</v>
      </c>
      <c r="J46" s="1">
        <v>45371</v>
      </c>
      <c r="K46" s="1">
        <v>45373</v>
      </c>
      <c r="L46" s="1">
        <v>45380</v>
      </c>
      <c r="M46" t="s">
        <v>19</v>
      </c>
      <c r="N46" t="s">
        <v>109</v>
      </c>
      <c r="O46">
        <v>7</v>
      </c>
      <c r="P46" t="s">
        <v>110</v>
      </c>
      <c r="Q46">
        <v>9</v>
      </c>
      <c r="R46">
        <v>15850</v>
      </c>
      <c r="S46">
        <v>3000</v>
      </c>
      <c r="T46">
        <v>0</v>
      </c>
      <c r="U46" t="s">
        <v>105</v>
      </c>
      <c r="V46">
        <v>200</v>
      </c>
    </row>
    <row r="47" spans="1:22" x14ac:dyDescent="0.25">
      <c r="A47" t="s">
        <v>85</v>
      </c>
      <c r="B47" s="1">
        <v>45351</v>
      </c>
      <c r="C47" t="s">
        <v>14</v>
      </c>
      <c r="D47" t="s">
        <v>15</v>
      </c>
      <c r="E47" t="s">
        <v>23</v>
      </c>
      <c r="F47" t="s">
        <v>17</v>
      </c>
      <c r="G47">
        <v>1250</v>
      </c>
      <c r="H47">
        <v>1250</v>
      </c>
      <c r="I47" t="s">
        <v>18</v>
      </c>
      <c r="J47" s="1">
        <v>45366</v>
      </c>
      <c r="K47" s="1">
        <v>45366</v>
      </c>
      <c r="L47" s="1">
        <v>45370</v>
      </c>
      <c r="M47" t="s">
        <v>26</v>
      </c>
      <c r="N47" t="s">
        <v>111</v>
      </c>
      <c r="O47">
        <v>4</v>
      </c>
      <c r="P47" t="s">
        <v>112</v>
      </c>
      <c r="Q47">
        <v>9</v>
      </c>
      <c r="R47">
        <v>6450</v>
      </c>
      <c r="S47">
        <v>1000</v>
      </c>
      <c r="T47">
        <v>250</v>
      </c>
      <c r="U47" t="s">
        <v>106</v>
      </c>
      <c r="V47">
        <v>0</v>
      </c>
    </row>
    <row r="48" spans="1:22" x14ac:dyDescent="0.25">
      <c r="A48" t="s">
        <v>86</v>
      </c>
      <c r="B48" s="1">
        <v>45351</v>
      </c>
      <c r="C48" t="s">
        <v>21</v>
      </c>
      <c r="D48" t="s">
        <v>22</v>
      </c>
      <c r="E48" t="s">
        <v>30</v>
      </c>
      <c r="F48" t="s">
        <v>24</v>
      </c>
      <c r="G48">
        <v>1650</v>
      </c>
      <c r="H48">
        <v>1600</v>
      </c>
      <c r="I48" t="s">
        <v>25</v>
      </c>
      <c r="J48" s="1">
        <v>45366</v>
      </c>
      <c r="K48" s="1">
        <v>45366</v>
      </c>
      <c r="L48" s="1">
        <v>45370</v>
      </c>
      <c r="M48" t="s">
        <v>33</v>
      </c>
      <c r="N48" t="s">
        <v>111</v>
      </c>
      <c r="O48">
        <v>4</v>
      </c>
      <c r="P48" t="s">
        <v>112</v>
      </c>
      <c r="Q48">
        <v>9</v>
      </c>
      <c r="R48">
        <v>8450</v>
      </c>
      <c r="S48">
        <v>2500</v>
      </c>
      <c r="T48">
        <v>-900</v>
      </c>
      <c r="U48" t="s">
        <v>106</v>
      </c>
      <c r="V48">
        <v>0</v>
      </c>
    </row>
    <row r="49" spans="1:22" x14ac:dyDescent="0.25">
      <c r="A49" t="s">
        <v>87</v>
      </c>
      <c r="B49" s="1">
        <v>45352</v>
      </c>
      <c r="C49" t="s">
        <v>28</v>
      </c>
      <c r="D49" t="s">
        <v>29</v>
      </c>
      <c r="E49" t="s">
        <v>37</v>
      </c>
      <c r="F49" t="s">
        <v>31</v>
      </c>
      <c r="G49">
        <v>950</v>
      </c>
      <c r="H49">
        <v>950</v>
      </c>
      <c r="I49" t="s">
        <v>32</v>
      </c>
      <c r="J49" s="1">
        <v>45372</v>
      </c>
      <c r="K49" s="1">
        <v>45372</v>
      </c>
      <c r="L49" s="1">
        <v>45375</v>
      </c>
      <c r="M49" t="s">
        <v>39</v>
      </c>
      <c r="N49" t="s">
        <v>111</v>
      </c>
      <c r="O49">
        <v>3</v>
      </c>
      <c r="P49" t="s">
        <v>112</v>
      </c>
      <c r="Q49">
        <v>9</v>
      </c>
      <c r="R49">
        <v>4900</v>
      </c>
      <c r="S49">
        <v>500</v>
      </c>
      <c r="T49">
        <v>450</v>
      </c>
      <c r="U49" t="s">
        <v>106</v>
      </c>
      <c r="V49">
        <v>0</v>
      </c>
    </row>
    <row r="50" spans="1:22" x14ac:dyDescent="0.25">
      <c r="A50" t="s">
        <v>88</v>
      </c>
      <c r="B50" s="1">
        <v>45353</v>
      </c>
      <c r="C50" t="s">
        <v>35</v>
      </c>
      <c r="D50" t="s">
        <v>36</v>
      </c>
      <c r="E50" t="s">
        <v>16</v>
      </c>
      <c r="F50" t="s">
        <v>38</v>
      </c>
      <c r="G50">
        <v>550</v>
      </c>
      <c r="H50">
        <v>550</v>
      </c>
      <c r="I50" t="s">
        <v>18</v>
      </c>
      <c r="J50" s="1">
        <v>45360</v>
      </c>
      <c r="K50" s="1">
        <v>45360</v>
      </c>
      <c r="L50" s="1">
        <v>45362</v>
      </c>
      <c r="M50" t="s">
        <v>19</v>
      </c>
      <c r="N50" t="s">
        <v>111</v>
      </c>
      <c r="O50">
        <v>2</v>
      </c>
      <c r="P50" t="s">
        <v>112</v>
      </c>
      <c r="Q50">
        <v>9</v>
      </c>
      <c r="R50">
        <v>2850</v>
      </c>
      <c r="S50">
        <v>1150</v>
      </c>
      <c r="T50">
        <v>-600</v>
      </c>
      <c r="U50" t="s">
        <v>106</v>
      </c>
      <c r="V50">
        <v>0</v>
      </c>
    </row>
    <row r="51" spans="1:22" x14ac:dyDescent="0.25">
      <c r="A51" t="s">
        <v>89</v>
      </c>
      <c r="B51" s="1">
        <v>45353</v>
      </c>
      <c r="C51" t="s">
        <v>41</v>
      </c>
      <c r="D51" t="s">
        <v>42</v>
      </c>
      <c r="E51" t="s">
        <v>23</v>
      </c>
      <c r="F51" t="s">
        <v>43</v>
      </c>
      <c r="G51">
        <v>2700</v>
      </c>
      <c r="H51">
        <v>2600</v>
      </c>
      <c r="I51" t="s">
        <v>44</v>
      </c>
      <c r="J51" s="1">
        <v>45373</v>
      </c>
      <c r="K51" s="1">
        <v>45377</v>
      </c>
      <c r="L51" s="1">
        <v>45384</v>
      </c>
      <c r="M51" t="s">
        <v>26</v>
      </c>
      <c r="N51" t="s">
        <v>109</v>
      </c>
      <c r="O51">
        <v>7</v>
      </c>
      <c r="P51" t="s">
        <v>110</v>
      </c>
      <c r="Q51">
        <v>9</v>
      </c>
      <c r="R51">
        <v>13850</v>
      </c>
      <c r="S51">
        <v>3000</v>
      </c>
      <c r="T51">
        <v>-400</v>
      </c>
      <c r="U51" t="s">
        <v>106</v>
      </c>
      <c r="V51">
        <v>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25AC-7DFB-2540-BD8D-07067FCE2915}">
  <dimension ref="A1:V51"/>
  <sheetViews>
    <sheetView tabSelected="1" topLeftCell="N1" zoomScale="90" zoomScaleNormal="90" workbookViewId="0">
      <selection activeCell="V4" sqref="V4"/>
    </sheetView>
  </sheetViews>
  <sheetFormatPr baseColWidth="10" defaultRowHeight="15.75" x14ac:dyDescent="0.25"/>
  <cols>
    <col min="2" max="2" width="16.5" customWidth="1"/>
    <col min="3" max="3" width="14.125" customWidth="1"/>
    <col min="4" max="4" width="12.375" customWidth="1"/>
    <col min="6" max="6" width="8.625" customWidth="1"/>
    <col min="7" max="7" width="16.375" customWidth="1"/>
    <col min="8" max="8" width="17.875" customWidth="1"/>
    <col min="10" max="10" width="11.375" customWidth="1"/>
    <col min="11" max="11" width="13.5" customWidth="1"/>
    <col min="12" max="12" width="13.625" customWidth="1"/>
    <col min="13" max="13" width="15.5" customWidth="1"/>
    <col min="15" max="15" width="13.25" customWidth="1"/>
    <col min="16" max="16" width="15.75" customWidth="1"/>
    <col min="17" max="17" width="16.25" customWidth="1"/>
    <col min="18" max="18" width="20.75" customWidth="1"/>
    <col min="19" max="19" width="20" customWidth="1"/>
    <col min="20" max="20" width="14.375" customWidth="1"/>
    <col min="21" max="21" width="19.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96</v>
      </c>
      <c r="T1" t="s">
        <v>97</v>
      </c>
      <c r="U1" t="s">
        <v>98</v>
      </c>
      <c r="V1" t="s">
        <v>102</v>
      </c>
    </row>
    <row r="2" spans="1:22" x14ac:dyDescent="0.25">
      <c r="A2" t="s">
        <v>13</v>
      </c>
      <c r="B2" s="1">
        <v>45323</v>
      </c>
      <c r="C2" t="s">
        <v>14</v>
      </c>
      <c r="D2" t="s">
        <v>15</v>
      </c>
      <c r="E2" t="s">
        <v>16</v>
      </c>
      <c r="F2" t="s">
        <v>17</v>
      </c>
      <c r="G2">
        <v>1000</v>
      </c>
      <c r="H2">
        <v>1000</v>
      </c>
      <c r="I2" t="s">
        <v>18</v>
      </c>
      <c r="J2" s="1">
        <v>45338</v>
      </c>
      <c r="K2" s="1">
        <v>45340</v>
      </c>
      <c r="L2" s="1">
        <v>45344</v>
      </c>
      <c r="M2" t="s">
        <v>19</v>
      </c>
      <c r="N2" t="str">
        <f>IF(K2=J2,"A Tiempo",IF(K2&gt;J2,"Retraso","Adelantado"))</f>
        <v>Retraso</v>
      </c>
      <c r="O2">
        <f t="shared" ref="O2:O33" si="0">L2-K2</f>
        <v>4</v>
      </c>
      <c r="P2" t="str">
        <f>IF(AND(O2&gt;3,N2="Retraso"),"SI","NO")</f>
        <v>SI</v>
      </c>
      <c r="Q2">
        <f>LEN(A2)</f>
        <v>9</v>
      </c>
      <c r="R2">
        <f>G2*5 +O2*50</f>
        <v>5200</v>
      </c>
      <c r="S2">
        <f>_xlfn.XLOOKUP(Tbl_Embarques[[#This Row],[SKU]],Tbl_Packing_List[SKU],Tbl_Packing_List[Cantidad_Recibida_PL],"No Encontrado")</f>
        <v>1000</v>
      </c>
      <c r="T2">
        <f>Tbl_Embarques[[#This Row],[Cantidad_Recibida]]-Tbl_Embarques[[#This Row],[Recibido_Segun_PL]]</f>
        <v>0</v>
      </c>
      <c r="U2" t="str">
        <f>IF(Tbl_Embarques[[#This Row],[Discrepancia]]=0,"OK","Revisar con proveedor")</f>
        <v>OK</v>
      </c>
      <c r="V2">
        <f>IF(Tbl_Embarques[[#This Row],[Dias_Aduana]]&gt;5,(Tbl_Embarques[[#This Row],[Dias_Aduana]]-5)*100,0)</f>
        <v>0</v>
      </c>
    </row>
    <row r="3" spans="1:22" x14ac:dyDescent="0.25">
      <c r="A3" t="s">
        <v>20</v>
      </c>
      <c r="B3" s="1">
        <v>45324</v>
      </c>
      <c r="C3" t="s">
        <v>21</v>
      </c>
      <c r="D3" t="s">
        <v>22</v>
      </c>
      <c r="E3" t="s">
        <v>23</v>
      </c>
      <c r="F3" t="s">
        <v>24</v>
      </c>
      <c r="G3">
        <v>2500</v>
      </c>
      <c r="H3">
        <v>2500</v>
      </c>
      <c r="I3" t="s">
        <v>25</v>
      </c>
      <c r="J3" s="1">
        <v>45344</v>
      </c>
      <c r="K3" s="1">
        <v>45344</v>
      </c>
      <c r="L3" s="1">
        <v>45347</v>
      </c>
      <c r="M3" t="s">
        <v>26</v>
      </c>
      <c r="N3" t="str">
        <f t="shared" ref="N3:N51" si="1">IF(K3=J3,"A Tiempo",IF(K3&gt;J3,"Retraso","Adelantado"))</f>
        <v>A Tiempo</v>
      </c>
      <c r="O3">
        <f t="shared" si="0"/>
        <v>3</v>
      </c>
      <c r="P3" t="str">
        <f t="shared" ref="P3:P51" si="2">IF(AND(O3&gt;3,N3="Retraso"),"SI","NO")</f>
        <v>NO</v>
      </c>
      <c r="Q3">
        <f t="shared" ref="Q3:Q51" si="3">LEN(A3)</f>
        <v>9</v>
      </c>
      <c r="R3">
        <f t="shared" ref="R3:R51" si="4">G3*5 +O3*50</f>
        <v>12650</v>
      </c>
      <c r="S3">
        <f>_xlfn.XLOOKUP(Tbl_Embarques[[#This Row],[SKU]],Tbl_Packing_List[SKU],Tbl_Packing_List[Cantidad_Recibida_PL],"No Encontrado")</f>
        <v>2500</v>
      </c>
      <c r="T3">
        <f>Tbl_Embarques[[#This Row],[Cantidad_Recibida]]-Tbl_Embarques[[#This Row],[Recibido_Segun_PL]]</f>
        <v>0</v>
      </c>
      <c r="U3" t="str">
        <f>IF(Tbl_Embarques[[#This Row],[Discrepancia]]=0,"OK","Revisar con proveedor")</f>
        <v>OK</v>
      </c>
      <c r="V3">
        <f>IF(Tbl_Embarques[[#This Row],[Dias_Aduana]]&gt;5,(Tbl_Embarques[[#This Row],[Dias_Aduana]]-5)*100,0)</f>
        <v>0</v>
      </c>
    </row>
    <row r="4" spans="1:22" x14ac:dyDescent="0.25">
      <c r="A4" t="s">
        <v>27</v>
      </c>
      <c r="B4" s="1">
        <v>45325</v>
      </c>
      <c r="C4" t="s">
        <v>28</v>
      </c>
      <c r="D4" t="s">
        <v>29</v>
      </c>
      <c r="E4" t="s">
        <v>30</v>
      </c>
      <c r="F4" t="s">
        <v>31</v>
      </c>
      <c r="G4">
        <v>500</v>
      </c>
      <c r="H4">
        <v>500</v>
      </c>
      <c r="I4" t="s">
        <v>32</v>
      </c>
      <c r="J4" s="1">
        <v>45347</v>
      </c>
      <c r="K4" s="1">
        <v>45348</v>
      </c>
      <c r="L4" s="1">
        <v>45352</v>
      </c>
      <c r="M4" t="s">
        <v>33</v>
      </c>
      <c r="N4" t="str">
        <f t="shared" si="1"/>
        <v>Retraso</v>
      </c>
      <c r="O4">
        <f t="shared" si="0"/>
        <v>4</v>
      </c>
      <c r="P4" t="str">
        <f t="shared" si="2"/>
        <v>SI</v>
      </c>
      <c r="Q4">
        <f t="shared" si="3"/>
        <v>9</v>
      </c>
      <c r="R4">
        <f t="shared" si="4"/>
        <v>2700</v>
      </c>
      <c r="S4">
        <f>_xlfn.XLOOKUP(Tbl_Embarques[[#This Row],[SKU]],Tbl_Packing_List[SKU],Tbl_Packing_List[Cantidad_Recibida_PL],"No Encontrado")</f>
        <v>500</v>
      </c>
      <c r="T4">
        <f>Tbl_Embarques[[#This Row],[Cantidad_Recibida]]-Tbl_Embarques[[#This Row],[Recibido_Segun_PL]]</f>
        <v>0</v>
      </c>
      <c r="U4" t="str">
        <f>IF(Tbl_Embarques[[#This Row],[Discrepancia]]=0,"OK","Revisar con proveedor")</f>
        <v>OK</v>
      </c>
      <c r="V4">
        <f>IF(Tbl_Embarques[[#This Row],[Dias_Aduana]]&gt;5,(Tbl_Embarques[[#This Row],[Dias_Aduana]]-5)*100,0)</f>
        <v>0</v>
      </c>
    </row>
    <row r="5" spans="1:22" x14ac:dyDescent="0.25">
      <c r="A5" t="s">
        <v>34</v>
      </c>
      <c r="B5" s="1">
        <v>45325</v>
      </c>
      <c r="C5" t="s">
        <v>35</v>
      </c>
      <c r="D5" t="s">
        <v>36</v>
      </c>
      <c r="E5" t="s">
        <v>37</v>
      </c>
      <c r="F5" t="s">
        <v>38</v>
      </c>
      <c r="G5">
        <v>1200</v>
      </c>
      <c r="H5">
        <v>1150</v>
      </c>
      <c r="I5" t="s">
        <v>18</v>
      </c>
      <c r="J5" s="1">
        <v>45332</v>
      </c>
      <c r="K5" s="1">
        <v>45332</v>
      </c>
      <c r="L5" s="1">
        <v>45334</v>
      </c>
      <c r="M5" t="s">
        <v>39</v>
      </c>
      <c r="N5" t="str">
        <f t="shared" si="1"/>
        <v>A Tiempo</v>
      </c>
      <c r="O5">
        <f t="shared" si="0"/>
        <v>2</v>
      </c>
      <c r="P5" t="str">
        <f t="shared" si="2"/>
        <v>NO</v>
      </c>
      <c r="Q5">
        <f t="shared" si="3"/>
        <v>9</v>
      </c>
      <c r="R5">
        <f t="shared" si="4"/>
        <v>6100</v>
      </c>
      <c r="S5">
        <f>_xlfn.XLOOKUP(Tbl_Embarques[[#This Row],[SKU]],Tbl_Packing_List[SKU],Tbl_Packing_List[Cantidad_Recibida_PL],"No Encontrado")</f>
        <v>1150</v>
      </c>
      <c r="T5">
        <f>Tbl_Embarques[[#This Row],[Cantidad_Recibida]]-Tbl_Embarques[[#This Row],[Recibido_Segun_PL]]</f>
        <v>0</v>
      </c>
      <c r="U5" t="str">
        <f>IF(Tbl_Embarques[[#This Row],[Discrepancia]]=0,"OK","Revisar con proveedor")</f>
        <v>OK</v>
      </c>
      <c r="V5">
        <f>IF(Tbl_Embarques[[#This Row],[Dias_Aduana]]&gt;5,(Tbl_Embarques[[#This Row],[Dias_Aduana]]-5)*100,0)</f>
        <v>0</v>
      </c>
    </row>
    <row r="6" spans="1:22" x14ac:dyDescent="0.25">
      <c r="A6" t="s">
        <v>40</v>
      </c>
      <c r="B6" s="1">
        <v>45326</v>
      </c>
      <c r="C6" t="s">
        <v>41</v>
      </c>
      <c r="D6" t="s">
        <v>42</v>
      </c>
      <c r="E6" t="s">
        <v>16</v>
      </c>
      <c r="F6" t="s">
        <v>43</v>
      </c>
      <c r="G6">
        <v>3000</v>
      </c>
      <c r="H6">
        <v>3000</v>
      </c>
      <c r="I6" t="s">
        <v>44</v>
      </c>
      <c r="J6" s="1">
        <v>45348</v>
      </c>
      <c r="K6" s="1">
        <v>45345</v>
      </c>
      <c r="L6" s="1">
        <v>45356</v>
      </c>
      <c r="M6" t="s">
        <v>19</v>
      </c>
      <c r="N6" t="str">
        <f t="shared" si="1"/>
        <v>Adelantado</v>
      </c>
      <c r="O6">
        <f t="shared" si="0"/>
        <v>11</v>
      </c>
      <c r="P6" t="str">
        <f t="shared" si="2"/>
        <v>NO</v>
      </c>
      <c r="Q6">
        <f t="shared" si="3"/>
        <v>9</v>
      </c>
      <c r="R6">
        <f t="shared" si="4"/>
        <v>15550</v>
      </c>
      <c r="S6">
        <f>_xlfn.XLOOKUP(Tbl_Embarques[[#This Row],[SKU]],Tbl_Packing_List[SKU],Tbl_Packing_List[Cantidad_Recibida_PL],"No Encontrado")</f>
        <v>3000</v>
      </c>
      <c r="T6">
        <f>Tbl_Embarques[[#This Row],[Cantidad_Recibida]]-Tbl_Embarques[[#This Row],[Recibido_Segun_PL]]</f>
        <v>0</v>
      </c>
      <c r="U6" t="str">
        <f>IF(Tbl_Embarques[[#This Row],[Discrepancia]]=0,"OK","Revisar con proveedor")</f>
        <v>OK</v>
      </c>
      <c r="V6">
        <f>IF(Tbl_Embarques[[#This Row],[Dias_Aduana]]&gt;5,(Tbl_Embarques[[#This Row],[Dias_Aduana]]-5)*100,0)</f>
        <v>600</v>
      </c>
    </row>
    <row r="7" spans="1:22" x14ac:dyDescent="0.25">
      <c r="A7" t="s">
        <v>45</v>
      </c>
      <c r="B7" s="1">
        <v>45327</v>
      </c>
      <c r="C7" t="s">
        <v>14</v>
      </c>
      <c r="D7" t="s">
        <v>15</v>
      </c>
      <c r="E7" t="s">
        <v>23</v>
      </c>
      <c r="F7" t="s">
        <v>17</v>
      </c>
      <c r="G7">
        <v>800</v>
      </c>
      <c r="H7">
        <v>800</v>
      </c>
      <c r="I7" t="s">
        <v>18</v>
      </c>
      <c r="J7" s="1">
        <v>45342</v>
      </c>
      <c r="K7" s="1">
        <v>45344</v>
      </c>
      <c r="L7" s="1">
        <v>45348</v>
      </c>
      <c r="M7" t="s">
        <v>26</v>
      </c>
      <c r="N7" t="str">
        <f t="shared" si="1"/>
        <v>Retraso</v>
      </c>
      <c r="O7">
        <f t="shared" si="0"/>
        <v>4</v>
      </c>
      <c r="P7" t="str">
        <f t="shared" si="2"/>
        <v>SI</v>
      </c>
      <c r="Q7">
        <f t="shared" si="3"/>
        <v>9</v>
      </c>
      <c r="R7">
        <f t="shared" si="4"/>
        <v>4200</v>
      </c>
      <c r="S7">
        <f>_xlfn.XLOOKUP(Tbl_Embarques[[#This Row],[SKU]],Tbl_Packing_List[SKU],Tbl_Packing_List[Cantidad_Recibida_PL],"No Encontrado")</f>
        <v>1000</v>
      </c>
      <c r="T7">
        <f>Tbl_Embarques[[#This Row],[Cantidad_Recibida]]-Tbl_Embarques[[#This Row],[Recibido_Segun_PL]]</f>
        <v>-200</v>
      </c>
      <c r="U7" t="str">
        <f>IF(Tbl_Embarques[[#This Row],[Discrepancia]]=0,"OK","Revisar con proveedor")</f>
        <v>Revisar con proveedor</v>
      </c>
      <c r="V7">
        <f>IF(Tbl_Embarques[[#This Row],[Dias_Aduana]]&gt;5,(Tbl_Embarques[[#This Row],[Dias_Aduana]]-5)*100,0)</f>
        <v>0</v>
      </c>
    </row>
    <row r="8" spans="1:22" x14ac:dyDescent="0.25">
      <c r="A8" t="s">
        <v>46</v>
      </c>
      <c r="B8" s="1">
        <v>45327</v>
      </c>
      <c r="C8" t="s">
        <v>21</v>
      </c>
      <c r="D8" t="s">
        <v>22</v>
      </c>
      <c r="E8" t="s">
        <v>30</v>
      </c>
      <c r="F8" t="s">
        <v>24</v>
      </c>
      <c r="G8">
        <v>1500</v>
      </c>
      <c r="H8">
        <v>1400</v>
      </c>
      <c r="I8" t="s">
        <v>25</v>
      </c>
      <c r="J8" s="1">
        <v>45347</v>
      </c>
      <c r="K8" s="1">
        <v>45348</v>
      </c>
      <c r="L8" s="1">
        <v>45352</v>
      </c>
      <c r="M8" t="s">
        <v>33</v>
      </c>
      <c r="N8" t="str">
        <f t="shared" si="1"/>
        <v>Retraso</v>
      </c>
      <c r="O8">
        <f t="shared" si="0"/>
        <v>4</v>
      </c>
      <c r="P8" t="str">
        <f t="shared" si="2"/>
        <v>SI</v>
      </c>
      <c r="Q8">
        <f t="shared" si="3"/>
        <v>9</v>
      </c>
      <c r="R8">
        <f t="shared" si="4"/>
        <v>7700</v>
      </c>
      <c r="S8">
        <f>_xlfn.XLOOKUP(Tbl_Embarques[[#This Row],[SKU]],Tbl_Packing_List[SKU],Tbl_Packing_List[Cantidad_Recibida_PL],"No Encontrado")</f>
        <v>2500</v>
      </c>
      <c r="T8">
        <f>Tbl_Embarques[[#This Row],[Cantidad_Recibida]]-Tbl_Embarques[[#This Row],[Recibido_Segun_PL]]</f>
        <v>-1100</v>
      </c>
      <c r="U8" t="str">
        <f>IF(Tbl_Embarques[[#This Row],[Discrepancia]]=0,"OK","Revisar con proveedor")</f>
        <v>Revisar con proveedor</v>
      </c>
      <c r="V8">
        <f>IF(Tbl_Embarques[[#This Row],[Dias_Aduana]]&gt;5,(Tbl_Embarques[[#This Row],[Dias_Aduana]]-5)*100,0)</f>
        <v>0</v>
      </c>
    </row>
    <row r="9" spans="1:22" x14ac:dyDescent="0.25">
      <c r="A9" t="s">
        <v>47</v>
      </c>
      <c r="B9" s="1">
        <v>45328</v>
      </c>
      <c r="C9" t="s">
        <v>28</v>
      </c>
      <c r="D9" t="s">
        <v>29</v>
      </c>
      <c r="E9" t="s">
        <v>37</v>
      </c>
      <c r="F9" t="s">
        <v>31</v>
      </c>
      <c r="G9">
        <v>2000</v>
      </c>
      <c r="H9">
        <v>2000</v>
      </c>
      <c r="I9" t="s">
        <v>32</v>
      </c>
      <c r="J9" s="1">
        <v>45350</v>
      </c>
      <c r="K9" s="1">
        <v>45350</v>
      </c>
      <c r="L9" s="1">
        <v>45354</v>
      </c>
      <c r="M9" t="s">
        <v>39</v>
      </c>
      <c r="N9" t="str">
        <f t="shared" si="1"/>
        <v>A Tiempo</v>
      </c>
      <c r="O9">
        <f t="shared" si="0"/>
        <v>4</v>
      </c>
      <c r="P9" t="str">
        <f t="shared" si="2"/>
        <v>NO</v>
      </c>
      <c r="Q9">
        <f t="shared" si="3"/>
        <v>9</v>
      </c>
      <c r="R9">
        <f t="shared" si="4"/>
        <v>10200</v>
      </c>
      <c r="S9">
        <f>_xlfn.XLOOKUP(Tbl_Embarques[[#This Row],[SKU]],Tbl_Packing_List[SKU],Tbl_Packing_List[Cantidad_Recibida_PL],"No Encontrado")</f>
        <v>500</v>
      </c>
      <c r="T9">
        <f>Tbl_Embarques[[#This Row],[Cantidad_Recibida]]-Tbl_Embarques[[#This Row],[Recibido_Segun_PL]]</f>
        <v>1500</v>
      </c>
      <c r="U9" t="str">
        <f>IF(Tbl_Embarques[[#This Row],[Discrepancia]]=0,"OK","Revisar con proveedor")</f>
        <v>Revisar con proveedor</v>
      </c>
      <c r="V9">
        <f>IF(Tbl_Embarques[[#This Row],[Dias_Aduana]]&gt;5,(Tbl_Embarques[[#This Row],[Dias_Aduana]]-5)*100,0)</f>
        <v>0</v>
      </c>
    </row>
    <row r="10" spans="1:22" x14ac:dyDescent="0.25">
      <c r="A10" t="s">
        <v>48</v>
      </c>
      <c r="B10" s="1">
        <v>45329</v>
      </c>
      <c r="C10" t="s">
        <v>35</v>
      </c>
      <c r="D10" t="s">
        <v>36</v>
      </c>
      <c r="E10" t="s">
        <v>16</v>
      </c>
      <c r="F10" t="s">
        <v>38</v>
      </c>
      <c r="G10">
        <v>900</v>
      </c>
      <c r="H10">
        <v>900</v>
      </c>
      <c r="I10" t="s">
        <v>18</v>
      </c>
      <c r="J10" s="1">
        <v>45336</v>
      </c>
      <c r="K10" s="1">
        <v>45337</v>
      </c>
      <c r="L10" s="1">
        <v>45339</v>
      </c>
      <c r="M10" t="s">
        <v>19</v>
      </c>
      <c r="N10" t="str">
        <f t="shared" si="1"/>
        <v>Retraso</v>
      </c>
      <c r="O10">
        <f t="shared" si="0"/>
        <v>2</v>
      </c>
      <c r="P10" t="str">
        <f t="shared" si="2"/>
        <v>NO</v>
      </c>
      <c r="Q10">
        <f t="shared" si="3"/>
        <v>9</v>
      </c>
      <c r="R10">
        <f t="shared" si="4"/>
        <v>4600</v>
      </c>
      <c r="S10">
        <f>_xlfn.XLOOKUP(Tbl_Embarques[[#This Row],[SKU]],Tbl_Packing_List[SKU],Tbl_Packing_List[Cantidad_Recibida_PL],"No Encontrado")</f>
        <v>1150</v>
      </c>
      <c r="T10">
        <f>Tbl_Embarques[[#This Row],[Cantidad_Recibida]]-Tbl_Embarques[[#This Row],[Recibido_Segun_PL]]</f>
        <v>-250</v>
      </c>
      <c r="U10" t="str">
        <f>IF(Tbl_Embarques[[#This Row],[Discrepancia]]=0,"OK","Revisar con proveedor")</f>
        <v>Revisar con proveedor</v>
      </c>
      <c r="V10">
        <f>IF(Tbl_Embarques[[#This Row],[Dias_Aduana]]&gt;5,(Tbl_Embarques[[#This Row],[Dias_Aduana]]-5)*100,0)</f>
        <v>0</v>
      </c>
    </row>
    <row r="11" spans="1:22" x14ac:dyDescent="0.25">
      <c r="A11" t="s">
        <v>49</v>
      </c>
      <c r="B11" s="1">
        <v>45329</v>
      </c>
      <c r="C11" t="s">
        <v>41</v>
      </c>
      <c r="D11" t="s">
        <v>42</v>
      </c>
      <c r="E11" t="s">
        <v>23</v>
      </c>
      <c r="F11" t="s">
        <v>43</v>
      </c>
      <c r="G11">
        <v>2500</v>
      </c>
      <c r="H11">
        <v>2300</v>
      </c>
      <c r="I11" t="s">
        <v>44</v>
      </c>
      <c r="J11" s="1">
        <v>45351</v>
      </c>
      <c r="K11" s="1">
        <v>45354</v>
      </c>
      <c r="L11" s="1">
        <v>45361</v>
      </c>
      <c r="M11" t="s">
        <v>26</v>
      </c>
      <c r="N11" t="str">
        <f t="shared" si="1"/>
        <v>Retraso</v>
      </c>
      <c r="O11">
        <f t="shared" si="0"/>
        <v>7</v>
      </c>
      <c r="P11" t="str">
        <f t="shared" si="2"/>
        <v>SI</v>
      </c>
      <c r="Q11">
        <f t="shared" si="3"/>
        <v>9</v>
      </c>
      <c r="R11">
        <f t="shared" si="4"/>
        <v>12850</v>
      </c>
      <c r="S11">
        <f>_xlfn.XLOOKUP(Tbl_Embarques[[#This Row],[SKU]],Tbl_Packing_List[SKU],Tbl_Packing_List[Cantidad_Recibida_PL],"No Encontrado")</f>
        <v>3000</v>
      </c>
      <c r="T11">
        <f>Tbl_Embarques[[#This Row],[Cantidad_Recibida]]-Tbl_Embarques[[#This Row],[Recibido_Segun_PL]]</f>
        <v>-700</v>
      </c>
      <c r="U11" t="str">
        <f>IF(Tbl_Embarques[[#This Row],[Discrepancia]]=0,"OK","Revisar con proveedor")</f>
        <v>Revisar con proveedor</v>
      </c>
      <c r="V11">
        <f>IF(Tbl_Embarques[[#This Row],[Dias_Aduana]]&gt;5,(Tbl_Embarques[[#This Row],[Dias_Aduana]]-5)*100,0)</f>
        <v>200</v>
      </c>
    </row>
    <row r="12" spans="1:22" x14ac:dyDescent="0.25">
      <c r="A12" t="s">
        <v>50</v>
      </c>
      <c r="B12" s="1">
        <v>45330</v>
      </c>
      <c r="C12" t="s">
        <v>14</v>
      </c>
      <c r="D12" t="s">
        <v>15</v>
      </c>
      <c r="E12" t="s">
        <v>30</v>
      </c>
      <c r="F12" t="s">
        <v>17</v>
      </c>
      <c r="G12">
        <v>1200</v>
      </c>
      <c r="H12">
        <v>1200</v>
      </c>
      <c r="I12" t="s">
        <v>18</v>
      </c>
      <c r="J12" s="1">
        <v>45345</v>
      </c>
      <c r="K12" s="1">
        <v>45345</v>
      </c>
      <c r="L12" s="1">
        <v>45349</v>
      </c>
      <c r="M12" t="s">
        <v>33</v>
      </c>
      <c r="N12" t="str">
        <f t="shared" si="1"/>
        <v>A Tiempo</v>
      </c>
      <c r="O12">
        <f t="shared" si="0"/>
        <v>4</v>
      </c>
      <c r="P12" t="str">
        <f t="shared" si="2"/>
        <v>NO</v>
      </c>
      <c r="Q12">
        <f t="shared" si="3"/>
        <v>9</v>
      </c>
      <c r="R12">
        <f t="shared" si="4"/>
        <v>6200</v>
      </c>
      <c r="S12">
        <f>_xlfn.XLOOKUP(Tbl_Embarques[[#This Row],[SKU]],Tbl_Packing_List[SKU],Tbl_Packing_List[Cantidad_Recibida_PL],"No Encontrado")</f>
        <v>1000</v>
      </c>
      <c r="T12">
        <f>Tbl_Embarques[[#This Row],[Cantidad_Recibida]]-Tbl_Embarques[[#This Row],[Recibido_Segun_PL]]</f>
        <v>200</v>
      </c>
      <c r="U12" t="str">
        <f>IF(Tbl_Embarques[[#This Row],[Discrepancia]]=0,"OK","Revisar con proveedor")</f>
        <v>Revisar con proveedor</v>
      </c>
      <c r="V12">
        <f>IF(Tbl_Embarques[[#This Row],[Dias_Aduana]]&gt;5,(Tbl_Embarques[[#This Row],[Dias_Aduana]]-5)*100,0)</f>
        <v>0</v>
      </c>
    </row>
    <row r="13" spans="1:22" x14ac:dyDescent="0.25">
      <c r="A13" t="s">
        <v>51</v>
      </c>
      <c r="B13" s="1">
        <v>45330</v>
      </c>
      <c r="C13" t="s">
        <v>21</v>
      </c>
      <c r="D13" t="s">
        <v>22</v>
      </c>
      <c r="E13" t="s">
        <v>37</v>
      </c>
      <c r="F13" t="s">
        <v>24</v>
      </c>
      <c r="G13">
        <v>1800</v>
      </c>
      <c r="H13">
        <v>1800</v>
      </c>
      <c r="I13" t="s">
        <v>25</v>
      </c>
      <c r="J13" s="1">
        <v>45350</v>
      </c>
      <c r="K13" s="1">
        <v>45350</v>
      </c>
      <c r="L13" s="1">
        <v>45354</v>
      </c>
      <c r="M13" t="s">
        <v>39</v>
      </c>
      <c r="N13" t="str">
        <f t="shared" si="1"/>
        <v>A Tiempo</v>
      </c>
      <c r="O13">
        <f t="shared" si="0"/>
        <v>4</v>
      </c>
      <c r="P13" t="str">
        <f t="shared" si="2"/>
        <v>NO</v>
      </c>
      <c r="Q13">
        <f t="shared" si="3"/>
        <v>9</v>
      </c>
      <c r="R13">
        <f t="shared" si="4"/>
        <v>9200</v>
      </c>
      <c r="S13">
        <f>_xlfn.XLOOKUP(Tbl_Embarques[[#This Row],[SKU]],Tbl_Packing_List[SKU],Tbl_Packing_List[Cantidad_Recibida_PL],"No Encontrado")</f>
        <v>2500</v>
      </c>
      <c r="T13">
        <f>Tbl_Embarques[[#This Row],[Cantidad_Recibida]]-Tbl_Embarques[[#This Row],[Recibido_Segun_PL]]</f>
        <v>-700</v>
      </c>
      <c r="U13" t="str">
        <f>IF(Tbl_Embarques[[#This Row],[Discrepancia]]=0,"OK","Revisar con proveedor")</f>
        <v>Revisar con proveedor</v>
      </c>
      <c r="V13">
        <f>IF(Tbl_Embarques[[#This Row],[Dias_Aduana]]&gt;5,(Tbl_Embarques[[#This Row],[Dias_Aduana]]-5)*100,0)</f>
        <v>0</v>
      </c>
    </row>
    <row r="14" spans="1:22" x14ac:dyDescent="0.25">
      <c r="A14" t="s">
        <v>52</v>
      </c>
      <c r="B14" s="1">
        <v>45331</v>
      </c>
      <c r="C14" t="s">
        <v>28</v>
      </c>
      <c r="D14" t="s">
        <v>29</v>
      </c>
      <c r="E14" t="s">
        <v>16</v>
      </c>
      <c r="F14" t="s">
        <v>31</v>
      </c>
      <c r="G14">
        <v>600</v>
      </c>
      <c r="H14">
        <v>600</v>
      </c>
      <c r="I14" t="s">
        <v>32</v>
      </c>
      <c r="J14" s="1">
        <v>45352</v>
      </c>
      <c r="K14" s="1">
        <v>45354</v>
      </c>
      <c r="L14" s="1">
        <v>45357</v>
      </c>
      <c r="M14" t="s">
        <v>19</v>
      </c>
      <c r="N14" t="str">
        <f t="shared" si="1"/>
        <v>Retraso</v>
      </c>
      <c r="O14">
        <f t="shared" si="0"/>
        <v>3</v>
      </c>
      <c r="P14" t="str">
        <f t="shared" si="2"/>
        <v>NO</v>
      </c>
      <c r="Q14">
        <f t="shared" si="3"/>
        <v>9</v>
      </c>
      <c r="R14">
        <f t="shared" si="4"/>
        <v>3150</v>
      </c>
      <c r="S14">
        <f>_xlfn.XLOOKUP(Tbl_Embarques[[#This Row],[SKU]],Tbl_Packing_List[SKU],Tbl_Packing_List[Cantidad_Recibida_PL],"No Encontrado")</f>
        <v>500</v>
      </c>
      <c r="T14">
        <f>Tbl_Embarques[[#This Row],[Cantidad_Recibida]]-Tbl_Embarques[[#This Row],[Recibido_Segun_PL]]</f>
        <v>100</v>
      </c>
      <c r="U14" t="str">
        <f>IF(Tbl_Embarques[[#This Row],[Discrepancia]]=0,"OK","Revisar con proveedor")</f>
        <v>Revisar con proveedor</v>
      </c>
      <c r="V14">
        <f>IF(Tbl_Embarques[[#This Row],[Dias_Aduana]]&gt;5,(Tbl_Embarques[[#This Row],[Dias_Aduana]]-5)*100,0)</f>
        <v>0</v>
      </c>
    </row>
    <row r="15" spans="1:22" x14ac:dyDescent="0.25">
      <c r="A15" t="s">
        <v>53</v>
      </c>
      <c r="B15" s="1">
        <v>45332</v>
      </c>
      <c r="C15" t="s">
        <v>35</v>
      </c>
      <c r="D15" t="s">
        <v>36</v>
      </c>
      <c r="E15" t="s">
        <v>23</v>
      </c>
      <c r="F15" t="s">
        <v>38</v>
      </c>
      <c r="G15">
        <v>2000</v>
      </c>
      <c r="H15">
        <v>1950</v>
      </c>
      <c r="I15" t="s">
        <v>18</v>
      </c>
      <c r="J15" s="1">
        <v>45339</v>
      </c>
      <c r="K15" s="1">
        <v>45339</v>
      </c>
      <c r="L15" s="1">
        <v>45342</v>
      </c>
      <c r="M15" t="s">
        <v>26</v>
      </c>
      <c r="N15" t="str">
        <f t="shared" si="1"/>
        <v>A Tiempo</v>
      </c>
      <c r="O15">
        <f t="shared" si="0"/>
        <v>3</v>
      </c>
      <c r="P15" t="str">
        <f t="shared" si="2"/>
        <v>NO</v>
      </c>
      <c r="Q15">
        <f t="shared" si="3"/>
        <v>9</v>
      </c>
      <c r="R15">
        <f t="shared" si="4"/>
        <v>10150</v>
      </c>
      <c r="S15">
        <f>_xlfn.XLOOKUP(Tbl_Embarques[[#This Row],[SKU]],Tbl_Packing_List[SKU],Tbl_Packing_List[Cantidad_Recibida_PL],"No Encontrado")</f>
        <v>1150</v>
      </c>
      <c r="T15">
        <f>Tbl_Embarques[[#This Row],[Cantidad_Recibida]]-Tbl_Embarques[[#This Row],[Recibido_Segun_PL]]</f>
        <v>800</v>
      </c>
      <c r="U15" t="str">
        <f>IF(Tbl_Embarques[[#This Row],[Discrepancia]]=0,"OK","Revisar con proveedor")</f>
        <v>Revisar con proveedor</v>
      </c>
      <c r="V15">
        <f>IF(Tbl_Embarques[[#This Row],[Dias_Aduana]]&gt;5,(Tbl_Embarques[[#This Row],[Dias_Aduana]]-5)*100,0)</f>
        <v>0</v>
      </c>
    </row>
    <row r="16" spans="1:22" x14ac:dyDescent="0.25">
      <c r="A16" t="s">
        <v>54</v>
      </c>
      <c r="B16" s="1">
        <v>45332</v>
      </c>
      <c r="C16" t="s">
        <v>41</v>
      </c>
      <c r="D16" t="s">
        <v>42</v>
      </c>
      <c r="E16" t="s">
        <v>30</v>
      </c>
      <c r="F16" t="s">
        <v>43</v>
      </c>
      <c r="G16">
        <v>1800</v>
      </c>
      <c r="H16">
        <v>1800</v>
      </c>
      <c r="I16" t="s">
        <v>44</v>
      </c>
      <c r="J16" s="1">
        <v>45353</v>
      </c>
      <c r="K16" s="1">
        <v>45356</v>
      </c>
      <c r="L16" s="1">
        <v>45363</v>
      </c>
      <c r="M16" t="s">
        <v>33</v>
      </c>
      <c r="N16" t="str">
        <f t="shared" si="1"/>
        <v>Retraso</v>
      </c>
      <c r="O16">
        <f t="shared" si="0"/>
        <v>7</v>
      </c>
      <c r="P16" t="str">
        <f t="shared" si="2"/>
        <v>SI</v>
      </c>
      <c r="Q16">
        <f t="shared" si="3"/>
        <v>9</v>
      </c>
      <c r="R16">
        <f t="shared" si="4"/>
        <v>9350</v>
      </c>
      <c r="S16">
        <f>_xlfn.XLOOKUP(Tbl_Embarques[[#This Row],[SKU]],Tbl_Packing_List[SKU],Tbl_Packing_List[Cantidad_Recibida_PL],"No Encontrado")</f>
        <v>3000</v>
      </c>
      <c r="T16">
        <f>Tbl_Embarques[[#This Row],[Cantidad_Recibida]]-Tbl_Embarques[[#This Row],[Recibido_Segun_PL]]</f>
        <v>-1200</v>
      </c>
      <c r="U16" t="str">
        <f>IF(Tbl_Embarques[[#This Row],[Discrepancia]]=0,"OK","Revisar con proveedor")</f>
        <v>Revisar con proveedor</v>
      </c>
      <c r="V16">
        <f>IF(Tbl_Embarques[[#This Row],[Dias_Aduana]]&gt;5,(Tbl_Embarques[[#This Row],[Dias_Aduana]]-5)*100,0)</f>
        <v>200</v>
      </c>
    </row>
    <row r="17" spans="1:22" x14ac:dyDescent="0.25">
      <c r="A17" t="s">
        <v>55</v>
      </c>
      <c r="B17" s="1">
        <v>45333</v>
      </c>
      <c r="C17" t="s">
        <v>14</v>
      </c>
      <c r="D17" t="s">
        <v>15</v>
      </c>
      <c r="E17" t="s">
        <v>37</v>
      </c>
      <c r="F17" t="s">
        <v>17</v>
      </c>
      <c r="G17">
        <v>1500</v>
      </c>
      <c r="H17">
        <v>1500</v>
      </c>
      <c r="I17" t="s">
        <v>18</v>
      </c>
      <c r="J17" s="1">
        <v>45348</v>
      </c>
      <c r="K17" s="1">
        <v>45349</v>
      </c>
      <c r="L17" s="1">
        <v>45354</v>
      </c>
      <c r="M17" t="s">
        <v>39</v>
      </c>
      <c r="N17" t="str">
        <f t="shared" si="1"/>
        <v>Retraso</v>
      </c>
      <c r="O17">
        <f t="shared" si="0"/>
        <v>5</v>
      </c>
      <c r="P17" t="str">
        <f t="shared" si="2"/>
        <v>SI</v>
      </c>
      <c r="Q17">
        <f t="shared" si="3"/>
        <v>9</v>
      </c>
      <c r="R17">
        <f t="shared" si="4"/>
        <v>7750</v>
      </c>
      <c r="S17">
        <f>_xlfn.XLOOKUP(Tbl_Embarques[[#This Row],[SKU]],Tbl_Packing_List[SKU],Tbl_Packing_List[Cantidad_Recibida_PL],"No Encontrado")</f>
        <v>1000</v>
      </c>
      <c r="T17">
        <f>Tbl_Embarques[[#This Row],[Cantidad_Recibida]]-Tbl_Embarques[[#This Row],[Recibido_Segun_PL]]</f>
        <v>500</v>
      </c>
      <c r="U17" t="str">
        <f>IF(Tbl_Embarques[[#This Row],[Discrepancia]]=0,"OK","Revisar con proveedor")</f>
        <v>Revisar con proveedor</v>
      </c>
      <c r="V17">
        <f>IF(Tbl_Embarques[[#This Row],[Dias_Aduana]]&gt;5,(Tbl_Embarques[[#This Row],[Dias_Aduana]]-5)*100,0)</f>
        <v>0</v>
      </c>
    </row>
    <row r="18" spans="1:22" x14ac:dyDescent="0.25">
      <c r="A18" t="s">
        <v>56</v>
      </c>
      <c r="B18" s="1">
        <v>45333</v>
      </c>
      <c r="C18" t="s">
        <v>21</v>
      </c>
      <c r="D18" t="s">
        <v>22</v>
      </c>
      <c r="E18" t="s">
        <v>16</v>
      </c>
      <c r="F18" t="s">
        <v>24</v>
      </c>
      <c r="G18">
        <v>2200</v>
      </c>
      <c r="H18">
        <v>2150</v>
      </c>
      <c r="I18" t="s">
        <v>25</v>
      </c>
      <c r="J18" s="1">
        <v>45352</v>
      </c>
      <c r="K18" s="1">
        <v>45352</v>
      </c>
      <c r="L18" s="1">
        <v>45356</v>
      </c>
      <c r="M18" t="s">
        <v>19</v>
      </c>
      <c r="N18" t="str">
        <f t="shared" si="1"/>
        <v>A Tiempo</v>
      </c>
      <c r="O18">
        <f t="shared" si="0"/>
        <v>4</v>
      </c>
      <c r="P18" t="str">
        <f t="shared" si="2"/>
        <v>NO</v>
      </c>
      <c r="Q18">
        <f t="shared" si="3"/>
        <v>9</v>
      </c>
      <c r="R18">
        <f t="shared" si="4"/>
        <v>11200</v>
      </c>
      <c r="S18">
        <f>_xlfn.XLOOKUP(Tbl_Embarques[[#This Row],[SKU]],Tbl_Packing_List[SKU],Tbl_Packing_List[Cantidad_Recibida_PL],"No Encontrado")</f>
        <v>2500</v>
      </c>
      <c r="T18">
        <f>Tbl_Embarques[[#This Row],[Cantidad_Recibida]]-Tbl_Embarques[[#This Row],[Recibido_Segun_PL]]</f>
        <v>-350</v>
      </c>
      <c r="U18" t="str">
        <f>IF(Tbl_Embarques[[#This Row],[Discrepancia]]=0,"OK","Revisar con proveedor")</f>
        <v>Revisar con proveedor</v>
      </c>
      <c r="V18">
        <f>IF(Tbl_Embarques[[#This Row],[Dias_Aduana]]&gt;5,(Tbl_Embarques[[#This Row],[Dias_Aduana]]-5)*100,0)</f>
        <v>0</v>
      </c>
    </row>
    <row r="19" spans="1:22" x14ac:dyDescent="0.25">
      <c r="A19" t="s">
        <v>57</v>
      </c>
      <c r="B19" s="1">
        <v>45334</v>
      </c>
      <c r="C19" t="s">
        <v>28</v>
      </c>
      <c r="D19" t="s">
        <v>29</v>
      </c>
      <c r="E19" t="s">
        <v>23</v>
      </c>
      <c r="F19" t="s">
        <v>31</v>
      </c>
      <c r="G19">
        <v>900</v>
      </c>
      <c r="H19">
        <v>900</v>
      </c>
      <c r="I19" t="s">
        <v>32</v>
      </c>
      <c r="J19" s="1">
        <v>45355</v>
      </c>
      <c r="K19" s="1">
        <v>45354</v>
      </c>
      <c r="L19" s="1">
        <v>45359</v>
      </c>
      <c r="M19" t="s">
        <v>26</v>
      </c>
      <c r="N19" t="str">
        <f t="shared" si="1"/>
        <v>Adelantado</v>
      </c>
      <c r="O19">
        <f t="shared" si="0"/>
        <v>5</v>
      </c>
      <c r="P19" t="str">
        <f t="shared" si="2"/>
        <v>NO</v>
      </c>
      <c r="Q19">
        <f t="shared" si="3"/>
        <v>9</v>
      </c>
      <c r="R19">
        <f t="shared" si="4"/>
        <v>4750</v>
      </c>
      <c r="S19">
        <f>_xlfn.XLOOKUP(Tbl_Embarques[[#This Row],[SKU]],Tbl_Packing_List[SKU],Tbl_Packing_List[Cantidad_Recibida_PL],"No Encontrado")</f>
        <v>500</v>
      </c>
      <c r="T19">
        <f>Tbl_Embarques[[#This Row],[Cantidad_Recibida]]-Tbl_Embarques[[#This Row],[Recibido_Segun_PL]]</f>
        <v>400</v>
      </c>
      <c r="U19" t="str">
        <f>IF(Tbl_Embarques[[#This Row],[Discrepancia]]=0,"OK","Revisar con proveedor")</f>
        <v>Revisar con proveedor</v>
      </c>
      <c r="V19">
        <f>IF(Tbl_Embarques[[#This Row],[Dias_Aduana]]&gt;5,(Tbl_Embarques[[#This Row],[Dias_Aduana]]-5)*100,0)</f>
        <v>0</v>
      </c>
    </row>
    <row r="20" spans="1:22" x14ac:dyDescent="0.25">
      <c r="A20" t="s">
        <v>58</v>
      </c>
      <c r="B20" s="1">
        <v>45335</v>
      </c>
      <c r="C20" t="s">
        <v>35</v>
      </c>
      <c r="D20" t="s">
        <v>36</v>
      </c>
      <c r="E20" t="s">
        <v>30</v>
      </c>
      <c r="F20" t="s">
        <v>38</v>
      </c>
      <c r="G20">
        <v>700</v>
      </c>
      <c r="H20">
        <v>700</v>
      </c>
      <c r="I20" t="s">
        <v>18</v>
      </c>
      <c r="J20" s="1">
        <v>45342</v>
      </c>
      <c r="K20" s="1">
        <v>45342</v>
      </c>
      <c r="L20" s="1">
        <v>45344</v>
      </c>
      <c r="M20" t="s">
        <v>33</v>
      </c>
      <c r="N20" t="str">
        <f t="shared" si="1"/>
        <v>A Tiempo</v>
      </c>
      <c r="O20">
        <f t="shared" si="0"/>
        <v>2</v>
      </c>
      <c r="P20" t="str">
        <f t="shared" si="2"/>
        <v>NO</v>
      </c>
      <c r="Q20">
        <f t="shared" si="3"/>
        <v>9</v>
      </c>
      <c r="R20">
        <f t="shared" si="4"/>
        <v>3600</v>
      </c>
      <c r="S20">
        <f>_xlfn.XLOOKUP(Tbl_Embarques[[#This Row],[SKU]],Tbl_Packing_List[SKU],Tbl_Packing_List[Cantidad_Recibida_PL],"No Encontrado")</f>
        <v>1150</v>
      </c>
      <c r="T20">
        <f>Tbl_Embarques[[#This Row],[Cantidad_Recibida]]-Tbl_Embarques[[#This Row],[Recibido_Segun_PL]]</f>
        <v>-450</v>
      </c>
      <c r="U20" t="str">
        <f>IF(Tbl_Embarques[[#This Row],[Discrepancia]]=0,"OK","Revisar con proveedor")</f>
        <v>Revisar con proveedor</v>
      </c>
      <c r="V20">
        <f>IF(Tbl_Embarques[[#This Row],[Dias_Aduana]]&gt;5,(Tbl_Embarques[[#This Row],[Dias_Aduana]]-5)*100,0)</f>
        <v>0</v>
      </c>
    </row>
    <row r="21" spans="1:22" x14ac:dyDescent="0.25">
      <c r="A21" t="s">
        <v>59</v>
      </c>
      <c r="B21" s="1">
        <v>45335</v>
      </c>
      <c r="C21" t="s">
        <v>41</v>
      </c>
      <c r="D21" t="s">
        <v>42</v>
      </c>
      <c r="E21" t="s">
        <v>37</v>
      </c>
      <c r="F21" t="s">
        <v>43</v>
      </c>
      <c r="G21">
        <v>3200</v>
      </c>
      <c r="H21">
        <v>3000</v>
      </c>
      <c r="I21" t="s">
        <v>44</v>
      </c>
      <c r="J21" s="1">
        <v>45356</v>
      </c>
      <c r="K21" s="1">
        <v>45358</v>
      </c>
      <c r="L21" s="1">
        <v>45366</v>
      </c>
      <c r="M21" t="s">
        <v>39</v>
      </c>
      <c r="N21" t="str">
        <f t="shared" si="1"/>
        <v>Retraso</v>
      </c>
      <c r="O21">
        <f t="shared" si="0"/>
        <v>8</v>
      </c>
      <c r="P21" t="str">
        <f t="shared" si="2"/>
        <v>SI</v>
      </c>
      <c r="Q21">
        <f t="shared" si="3"/>
        <v>9</v>
      </c>
      <c r="R21">
        <f t="shared" si="4"/>
        <v>16400</v>
      </c>
      <c r="S21">
        <f>_xlfn.XLOOKUP(Tbl_Embarques[[#This Row],[SKU]],Tbl_Packing_List[SKU],Tbl_Packing_List[Cantidad_Recibida_PL],"No Encontrado")</f>
        <v>3000</v>
      </c>
      <c r="T21">
        <f>Tbl_Embarques[[#This Row],[Cantidad_Recibida]]-Tbl_Embarques[[#This Row],[Recibido_Segun_PL]]</f>
        <v>0</v>
      </c>
      <c r="U21" t="str">
        <f>IF(Tbl_Embarques[[#This Row],[Discrepancia]]=0,"OK","Revisar con proveedor")</f>
        <v>OK</v>
      </c>
      <c r="V21">
        <f>IF(Tbl_Embarques[[#This Row],[Dias_Aduana]]&gt;5,(Tbl_Embarques[[#This Row],[Dias_Aduana]]-5)*100,0)</f>
        <v>300</v>
      </c>
    </row>
    <row r="22" spans="1:22" x14ac:dyDescent="0.25">
      <c r="A22" t="s">
        <v>60</v>
      </c>
      <c r="B22" s="1">
        <v>45336</v>
      </c>
      <c r="C22" t="s">
        <v>14</v>
      </c>
      <c r="D22" t="s">
        <v>15</v>
      </c>
      <c r="E22" t="s">
        <v>16</v>
      </c>
      <c r="F22" t="s">
        <v>17</v>
      </c>
      <c r="G22">
        <v>950</v>
      </c>
      <c r="H22">
        <v>950</v>
      </c>
      <c r="I22" t="s">
        <v>18</v>
      </c>
      <c r="J22" s="1">
        <v>45351</v>
      </c>
      <c r="K22" s="1">
        <v>45352</v>
      </c>
      <c r="L22" s="1">
        <v>45356</v>
      </c>
      <c r="M22" t="s">
        <v>19</v>
      </c>
      <c r="N22" t="str">
        <f t="shared" si="1"/>
        <v>Retraso</v>
      </c>
      <c r="O22">
        <f t="shared" si="0"/>
        <v>4</v>
      </c>
      <c r="P22" t="str">
        <f t="shared" si="2"/>
        <v>SI</v>
      </c>
      <c r="Q22">
        <f t="shared" si="3"/>
        <v>9</v>
      </c>
      <c r="R22">
        <f t="shared" si="4"/>
        <v>4950</v>
      </c>
      <c r="S22">
        <f>_xlfn.XLOOKUP(Tbl_Embarques[[#This Row],[SKU]],Tbl_Packing_List[SKU],Tbl_Packing_List[Cantidad_Recibida_PL],"No Encontrado")</f>
        <v>1000</v>
      </c>
      <c r="T22">
        <f>Tbl_Embarques[[#This Row],[Cantidad_Recibida]]-Tbl_Embarques[[#This Row],[Recibido_Segun_PL]]</f>
        <v>-50</v>
      </c>
      <c r="U22" t="str">
        <f>IF(Tbl_Embarques[[#This Row],[Discrepancia]]=0,"OK","Revisar con proveedor")</f>
        <v>Revisar con proveedor</v>
      </c>
      <c r="V22">
        <f>IF(Tbl_Embarques[[#This Row],[Dias_Aduana]]&gt;5,(Tbl_Embarques[[#This Row],[Dias_Aduana]]-5)*100,0)</f>
        <v>0</v>
      </c>
    </row>
    <row r="23" spans="1:22" x14ac:dyDescent="0.25">
      <c r="A23" t="s">
        <v>61</v>
      </c>
      <c r="B23" s="1">
        <v>45336</v>
      </c>
      <c r="C23" t="s">
        <v>21</v>
      </c>
      <c r="D23" t="s">
        <v>22</v>
      </c>
      <c r="E23" t="s">
        <v>23</v>
      </c>
      <c r="F23" t="s">
        <v>24</v>
      </c>
      <c r="G23">
        <v>2700</v>
      </c>
      <c r="H23">
        <v>2700</v>
      </c>
      <c r="I23" t="s">
        <v>25</v>
      </c>
      <c r="J23" s="1">
        <v>45355</v>
      </c>
      <c r="K23" s="1">
        <v>45356</v>
      </c>
      <c r="L23" s="1">
        <v>45360</v>
      </c>
      <c r="M23" t="s">
        <v>26</v>
      </c>
      <c r="N23" t="str">
        <f t="shared" si="1"/>
        <v>Retraso</v>
      </c>
      <c r="O23">
        <f t="shared" si="0"/>
        <v>4</v>
      </c>
      <c r="P23" t="str">
        <f t="shared" si="2"/>
        <v>SI</v>
      </c>
      <c r="Q23">
        <f t="shared" si="3"/>
        <v>9</v>
      </c>
      <c r="R23">
        <f t="shared" si="4"/>
        <v>13700</v>
      </c>
      <c r="S23">
        <f>_xlfn.XLOOKUP(Tbl_Embarques[[#This Row],[SKU]],Tbl_Packing_List[SKU],Tbl_Packing_List[Cantidad_Recibida_PL],"No Encontrado")</f>
        <v>2500</v>
      </c>
      <c r="T23">
        <f>Tbl_Embarques[[#This Row],[Cantidad_Recibida]]-Tbl_Embarques[[#This Row],[Recibido_Segun_PL]]</f>
        <v>200</v>
      </c>
      <c r="U23" t="str">
        <f>IF(Tbl_Embarques[[#This Row],[Discrepancia]]=0,"OK","Revisar con proveedor")</f>
        <v>Revisar con proveedor</v>
      </c>
      <c r="V23">
        <f>IF(Tbl_Embarques[[#This Row],[Dias_Aduana]]&gt;5,(Tbl_Embarques[[#This Row],[Dias_Aduana]]-5)*100,0)</f>
        <v>0</v>
      </c>
    </row>
    <row r="24" spans="1:22" x14ac:dyDescent="0.25">
      <c r="A24" t="s">
        <v>62</v>
      </c>
      <c r="B24" s="1">
        <v>45337</v>
      </c>
      <c r="C24" t="s">
        <v>28</v>
      </c>
      <c r="D24" t="s">
        <v>29</v>
      </c>
      <c r="E24" t="s">
        <v>30</v>
      </c>
      <c r="F24" t="s">
        <v>31</v>
      </c>
      <c r="G24">
        <v>1100</v>
      </c>
      <c r="H24">
        <v>1100</v>
      </c>
      <c r="I24" t="s">
        <v>32</v>
      </c>
      <c r="J24" s="1">
        <v>45358</v>
      </c>
      <c r="K24" s="1">
        <v>45358</v>
      </c>
      <c r="L24" s="1">
        <v>45362</v>
      </c>
      <c r="M24" t="s">
        <v>33</v>
      </c>
      <c r="N24" t="str">
        <f t="shared" si="1"/>
        <v>A Tiempo</v>
      </c>
      <c r="O24">
        <f t="shared" si="0"/>
        <v>4</v>
      </c>
      <c r="P24" t="str">
        <f t="shared" si="2"/>
        <v>NO</v>
      </c>
      <c r="Q24">
        <f t="shared" si="3"/>
        <v>9</v>
      </c>
      <c r="R24">
        <f t="shared" si="4"/>
        <v>5700</v>
      </c>
      <c r="S24">
        <f>_xlfn.XLOOKUP(Tbl_Embarques[[#This Row],[SKU]],Tbl_Packing_List[SKU],Tbl_Packing_List[Cantidad_Recibida_PL],"No Encontrado")</f>
        <v>500</v>
      </c>
      <c r="T24">
        <f>Tbl_Embarques[[#This Row],[Cantidad_Recibida]]-Tbl_Embarques[[#This Row],[Recibido_Segun_PL]]</f>
        <v>600</v>
      </c>
      <c r="U24" t="str">
        <f>IF(Tbl_Embarques[[#This Row],[Discrepancia]]=0,"OK","Revisar con proveedor")</f>
        <v>Revisar con proveedor</v>
      </c>
      <c r="V24">
        <f>IF(Tbl_Embarques[[#This Row],[Dias_Aduana]]&gt;5,(Tbl_Embarques[[#This Row],[Dias_Aduana]]-5)*100,0)</f>
        <v>0</v>
      </c>
    </row>
    <row r="25" spans="1:22" x14ac:dyDescent="0.25">
      <c r="A25" t="s">
        <v>63</v>
      </c>
      <c r="B25" s="1">
        <v>45338</v>
      </c>
      <c r="C25" t="s">
        <v>35</v>
      </c>
      <c r="D25" t="s">
        <v>36</v>
      </c>
      <c r="E25" t="s">
        <v>37</v>
      </c>
      <c r="F25" t="s">
        <v>38</v>
      </c>
      <c r="G25">
        <v>850</v>
      </c>
      <c r="H25">
        <v>800</v>
      </c>
      <c r="I25" t="s">
        <v>18</v>
      </c>
      <c r="J25" s="1">
        <v>45345</v>
      </c>
      <c r="K25" s="1">
        <v>45345</v>
      </c>
      <c r="L25" s="1">
        <v>45347</v>
      </c>
      <c r="M25" t="s">
        <v>39</v>
      </c>
      <c r="N25" t="str">
        <f t="shared" si="1"/>
        <v>A Tiempo</v>
      </c>
      <c r="O25">
        <f t="shared" si="0"/>
        <v>2</v>
      </c>
      <c r="P25" t="str">
        <f t="shared" si="2"/>
        <v>NO</v>
      </c>
      <c r="Q25">
        <f t="shared" si="3"/>
        <v>9</v>
      </c>
      <c r="R25">
        <f t="shared" si="4"/>
        <v>4350</v>
      </c>
      <c r="S25">
        <f>_xlfn.XLOOKUP(Tbl_Embarques[[#This Row],[SKU]],Tbl_Packing_List[SKU],Tbl_Packing_List[Cantidad_Recibida_PL],"No Encontrado")</f>
        <v>1150</v>
      </c>
      <c r="T25">
        <f>Tbl_Embarques[[#This Row],[Cantidad_Recibida]]-Tbl_Embarques[[#This Row],[Recibido_Segun_PL]]</f>
        <v>-350</v>
      </c>
      <c r="U25" t="str">
        <f>IF(Tbl_Embarques[[#This Row],[Discrepancia]]=0,"OK","Revisar con proveedor")</f>
        <v>Revisar con proveedor</v>
      </c>
      <c r="V25">
        <f>IF(Tbl_Embarques[[#This Row],[Dias_Aduana]]&gt;5,(Tbl_Embarques[[#This Row],[Dias_Aduana]]-5)*100,0)</f>
        <v>0</v>
      </c>
    </row>
    <row r="26" spans="1:22" x14ac:dyDescent="0.25">
      <c r="A26" t="s">
        <v>64</v>
      </c>
      <c r="B26" s="1">
        <v>45338</v>
      </c>
      <c r="C26" t="s">
        <v>41</v>
      </c>
      <c r="D26" t="s">
        <v>42</v>
      </c>
      <c r="E26" t="s">
        <v>16</v>
      </c>
      <c r="F26" t="s">
        <v>43</v>
      </c>
      <c r="G26">
        <v>2800</v>
      </c>
      <c r="H26">
        <v>2800</v>
      </c>
      <c r="I26" t="s">
        <v>44</v>
      </c>
      <c r="J26" s="1">
        <v>45359</v>
      </c>
      <c r="K26" s="1">
        <v>45363</v>
      </c>
      <c r="L26" s="1">
        <v>45370</v>
      </c>
      <c r="M26" t="s">
        <v>19</v>
      </c>
      <c r="N26" t="str">
        <f t="shared" si="1"/>
        <v>Retraso</v>
      </c>
      <c r="O26">
        <f t="shared" si="0"/>
        <v>7</v>
      </c>
      <c r="P26" t="str">
        <f t="shared" si="2"/>
        <v>SI</v>
      </c>
      <c r="Q26">
        <f t="shared" si="3"/>
        <v>9</v>
      </c>
      <c r="R26">
        <f t="shared" si="4"/>
        <v>14350</v>
      </c>
      <c r="S26">
        <f>_xlfn.XLOOKUP(Tbl_Embarques[[#This Row],[SKU]],Tbl_Packing_List[SKU],Tbl_Packing_List[Cantidad_Recibida_PL],"No Encontrado")</f>
        <v>3000</v>
      </c>
      <c r="T26">
        <f>Tbl_Embarques[[#This Row],[Cantidad_Recibida]]-Tbl_Embarques[[#This Row],[Recibido_Segun_PL]]</f>
        <v>-200</v>
      </c>
      <c r="U26" t="str">
        <f>IF(Tbl_Embarques[[#This Row],[Discrepancia]]=0,"OK","Revisar con proveedor")</f>
        <v>Revisar con proveedor</v>
      </c>
      <c r="V26">
        <f>IF(Tbl_Embarques[[#This Row],[Dias_Aduana]]&gt;5,(Tbl_Embarques[[#This Row],[Dias_Aduana]]-5)*100,0)</f>
        <v>200</v>
      </c>
    </row>
    <row r="27" spans="1:22" x14ac:dyDescent="0.25">
      <c r="A27" t="s">
        <v>65</v>
      </c>
      <c r="B27" s="1">
        <v>45339</v>
      </c>
      <c r="C27" t="s">
        <v>14</v>
      </c>
      <c r="D27" t="s">
        <v>15</v>
      </c>
      <c r="E27" t="s">
        <v>23</v>
      </c>
      <c r="F27" t="s">
        <v>17</v>
      </c>
      <c r="G27">
        <v>1300</v>
      </c>
      <c r="H27">
        <v>1250</v>
      </c>
      <c r="I27" t="s">
        <v>18</v>
      </c>
      <c r="J27" s="1">
        <v>45354</v>
      </c>
      <c r="K27" s="1">
        <v>45355</v>
      </c>
      <c r="L27" s="1">
        <v>45359</v>
      </c>
      <c r="M27" t="s">
        <v>26</v>
      </c>
      <c r="N27" t="str">
        <f t="shared" si="1"/>
        <v>Retraso</v>
      </c>
      <c r="O27">
        <f t="shared" si="0"/>
        <v>4</v>
      </c>
      <c r="P27" t="str">
        <f t="shared" si="2"/>
        <v>SI</v>
      </c>
      <c r="Q27">
        <f t="shared" si="3"/>
        <v>9</v>
      </c>
      <c r="R27">
        <f t="shared" si="4"/>
        <v>6700</v>
      </c>
      <c r="S27">
        <f>_xlfn.XLOOKUP(Tbl_Embarques[[#This Row],[SKU]],Tbl_Packing_List[SKU],Tbl_Packing_List[Cantidad_Recibida_PL],"No Encontrado")</f>
        <v>1000</v>
      </c>
      <c r="T27">
        <f>Tbl_Embarques[[#This Row],[Cantidad_Recibida]]-Tbl_Embarques[[#This Row],[Recibido_Segun_PL]]</f>
        <v>250</v>
      </c>
      <c r="U27" t="str">
        <f>IF(Tbl_Embarques[[#This Row],[Discrepancia]]=0,"OK","Revisar con proveedor")</f>
        <v>Revisar con proveedor</v>
      </c>
      <c r="V27">
        <f>IF(Tbl_Embarques[[#This Row],[Dias_Aduana]]&gt;5,(Tbl_Embarques[[#This Row],[Dias_Aduana]]-5)*100,0)</f>
        <v>0</v>
      </c>
    </row>
    <row r="28" spans="1:22" x14ac:dyDescent="0.25">
      <c r="A28" t="s">
        <v>66</v>
      </c>
      <c r="B28" s="1">
        <v>45339</v>
      </c>
      <c r="C28" t="s">
        <v>21</v>
      </c>
      <c r="D28" t="s">
        <v>22</v>
      </c>
      <c r="E28" t="s">
        <v>30</v>
      </c>
      <c r="F28" t="s">
        <v>24</v>
      </c>
      <c r="G28">
        <v>1900</v>
      </c>
      <c r="H28">
        <v>1900</v>
      </c>
      <c r="I28" t="s">
        <v>25</v>
      </c>
      <c r="J28" s="1">
        <v>45354</v>
      </c>
      <c r="K28" s="1">
        <v>45354</v>
      </c>
      <c r="L28" s="1">
        <v>45358</v>
      </c>
      <c r="M28" t="s">
        <v>33</v>
      </c>
      <c r="N28" t="str">
        <f t="shared" si="1"/>
        <v>A Tiempo</v>
      </c>
      <c r="O28">
        <f t="shared" si="0"/>
        <v>4</v>
      </c>
      <c r="P28" t="str">
        <f t="shared" si="2"/>
        <v>NO</v>
      </c>
      <c r="Q28">
        <f t="shared" si="3"/>
        <v>9</v>
      </c>
      <c r="R28">
        <f t="shared" si="4"/>
        <v>9700</v>
      </c>
      <c r="S28">
        <f>_xlfn.XLOOKUP(Tbl_Embarques[[#This Row],[SKU]],Tbl_Packing_List[SKU],Tbl_Packing_List[Cantidad_Recibida_PL],"No Encontrado")</f>
        <v>2500</v>
      </c>
      <c r="T28">
        <f>Tbl_Embarques[[#This Row],[Cantidad_Recibida]]-Tbl_Embarques[[#This Row],[Recibido_Segun_PL]]</f>
        <v>-600</v>
      </c>
      <c r="U28" t="str">
        <f>IF(Tbl_Embarques[[#This Row],[Discrepancia]]=0,"OK","Revisar con proveedor")</f>
        <v>Revisar con proveedor</v>
      </c>
      <c r="V28">
        <f>IF(Tbl_Embarques[[#This Row],[Dias_Aduana]]&gt;5,(Tbl_Embarques[[#This Row],[Dias_Aduana]]-5)*100,0)</f>
        <v>0</v>
      </c>
    </row>
    <row r="29" spans="1:22" x14ac:dyDescent="0.25">
      <c r="A29" t="s">
        <v>67</v>
      </c>
      <c r="B29" s="1">
        <v>45340</v>
      </c>
      <c r="C29" t="s">
        <v>28</v>
      </c>
      <c r="D29" t="s">
        <v>29</v>
      </c>
      <c r="E29" t="s">
        <v>37</v>
      </c>
      <c r="F29" t="s">
        <v>31</v>
      </c>
      <c r="G29">
        <v>750</v>
      </c>
      <c r="H29">
        <v>750</v>
      </c>
      <c r="I29" t="s">
        <v>32</v>
      </c>
      <c r="J29" s="1">
        <v>45360</v>
      </c>
      <c r="K29" s="1">
        <v>45362</v>
      </c>
      <c r="L29" s="1">
        <v>45365</v>
      </c>
      <c r="M29" t="s">
        <v>39</v>
      </c>
      <c r="N29" t="str">
        <f t="shared" si="1"/>
        <v>Retraso</v>
      </c>
      <c r="O29">
        <f t="shared" si="0"/>
        <v>3</v>
      </c>
      <c r="P29" t="str">
        <f t="shared" si="2"/>
        <v>NO</v>
      </c>
      <c r="Q29">
        <f t="shared" si="3"/>
        <v>9</v>
      </c>
      <c r="R29">
        <f t="shared" si="4"/>
        <v>3900</v>
      </c>
      <c r="S29">
        <f>_xlfn.XLOOKUP(Tbl_Embarques[[#This Row],[SKU]],Tbl_Packing_List[SKU],Tbl_Packing_List[Cantidad_Recibida_PL],"No Encontrado")</f>
        <v>500</v>
      </c>
      <c r="T29">
        <f>Tbl_Embarques[[#This Row],[Cantidad_Recibida]]-Tbl_Embarques[[#This Row],[Recibido_Segun_PL]]</f>
        <v>250</v>
      </c>
      <c r="U29" t="str">
        <f>IF(Tbl_Embarques[[#This Row],[Discrepancia]]=0,"OK","Revisar con proveedor")</f>
        <v>Revisar con proveedor</v>
      </c>
      <c r="V29">
        <f>IF(Tbl_Embarques[[#This Row],[Dias_Aduana]]&gt;5,(Tbl_Embarques[[#This Row],[Dias_Aduana]]-5)*100,0)</f>
        <v>0</v>
      </c>
    </row>
    <row r="30" spans="1:22" x14ac:dyDescent="0.25">
      <c r="A30" t="s">
        <v>68</v>
      </c>
      <c r="B30" s="1">
        <v>45341</v>
      </c>
      <c r="C30" t="s">
        <v>35</v>
      </c>
      <c r="D30" t="s">
        <v>36</v>
      </c>
      <c r="E30" t="s">
        <v>16</v>
      </c>
      <c r="F30" t="s">
        <v>38</v>
      </c>
      <c r="G30">
        <v>1600</v>
      </c>
      <c r="H30">
        <v>1550</v>
      </c>
      <c r="I30" t="s">
        <v>18</v>
      </c>
      <c r="J30" s="1">
        <v>45348</v>
      </c>
      <c r="K30" s="1">
        <v>45348</v>
      </c>
      <c r="L30" s="1">
        <v>45350</v>
      </c>
      <c r="M30" t="s">
        <v>19</v>
      </c>
      <c r="N30" t="str">
        <f t="shared" si="1"/>
        <v>A Tiempo</v>
      </c>
      <c r="O30">
        <f t="shared" si="0"/>
        <v>2</v>
      </c>
      <c r="P30" t="str">
        <f t="shared" si="2"/>
        <v>NO</v>
      </c>
      <c r="Q30">
        <f t="shared" si="3"/>
        <v>9</v>
      </c>
      <c r="R30">
        <f t="shared" si="4"/>
        <v>8100</v>
      </c>
      <c r="S30">
        <f>_xlfn.XLOOKUP(Tbl_Embarques[[#This Row],[SKU]],Tbl_Packing_List[SKU],Tbl_Packing_List[Cantidad_Recibida_PL],"No Encontrado")</f>
        <v>1150</v>
      </c>
      <c r="T30">
        <f>Tbl_Embarques[[#This Row],[Cantidad_Recibida]]-Tbl_Embarques[[#This Row],[Recibido_Segun_PL]]</f>
        <v>400</v>
      </c>
      <c r="U30" t="str">
        <f>IF(Tbl_Embarques[[#This Row],[Discrepancia]]=0,"OK","Revisar con proveedor")</f>
        <v>Revisar con proveedor</v>
      </c>
      <c r="V30">
        <f>IF(Tbl_Embarques[[#This Row],[Dias_Aduana]]&gt;5,(Tbl_Embarques[[#This Row],[Dias_Aduana]]-5)*100,0)</f>
        <v>0</v>
      </c>
    </row>
    <row r="31" spans="1:22" x14ac:dyDescent="0.25">
      <c r="A31" t="s">
        <v>69</v>
      </c>
      <c r="B31" s="1">
        <v>45341</v>
      </c>
      <c r="C31" t="s">
        <v>41</v>
      </c>
      <c r="D31" t="s">
        <v>42</v>
      </c>
      <c r="E31" t="s">
        <v>23</v>
      </c>
      <c r="F31" t="s">
        <v>43</v>
      </c>
      <c r="G31">
        <v>2100</v>
      </c>
      <c r="H31">
        <v>2000</v>
      </c>
      <c r="I31" t="s">
        <v>44</v>
      </c>
      <c r="J31" s="1">
        <v>45362</v>
      </c>
      <c r="K31" s="1">
        <v>45365</v>
      </c>
      <c r="L31" s="1">
        <v>45373</v>
      </c>
      <c r="M31" t="s">
        <v>26</v>
      </c>
      <c r="N31" t="str">
        <f t="shared" si="1"/>
        <v>Retraso</v>
      </c>
      <c r="O31">
        <f t="shared" si="0"/>
        <v>8</v>
      </c>
      <c r="P31" t="str">
        <f t="shared" si="2"/>
        <v>SI</v>
      </c>
      <c r="Q31">
        <f t="shared" si="3"/>
        <v>9</v>
      </c>
      <c r="R31">
        <f t="shared" si="4"/>
        <v>10900</v>
      </c>
      <c r="S31">
        <f>_xlfn.XLOOKUP(Tbl_Embarques[[#This Row],[SKU]],Tbl_Packing_List[SKU],Tbl_Packing_List[Cantidad_Recibida_PL],"No Encontrado")</f>
        <v>3000</v>
      </c>
      <c r="T31">
        <f>Tbl_Embarques[[#This Row],[Cantidad_Recibida]]-Tbl_Embarques[[#This Row],[Recibido_Segun_PL]]</f>
        <v>-1000</v>
      </c>
      <c r="U31" t="str">
        <f>IF(Tbl_Embarques[[#This Row],[Discrepancia]]=0,"OK","Revisar con proveedor")</f>
        <v>Revisar con proveedor</v>
      </c>
      <c r="V31">
        <f>IF(Tbl_Embarques[[#This Row],[Dias_Aduana]]&gt;5,(Tbl_Embarques[[#This Row],[Dias_Aduana]]-5)*100,0)</f>
        <v>300</v>
      </c>
    </row>
    <row r="32" spans="1:22" x14ac:dyDescent="0.25">
      <c r="A32" t="s">
        <v>70</v>
      </c>
      <c r="B32" s="1">
        <v>45342</v>
      </c>
      <c r="C32" t="s">
        <v>14</v>
      </c>
      <c r="D32" t="s">
        <v>15</v>
      </c>
      <c r="E32" t="s">
        <v>30</v>
      </c>
      <c r="F32" t="s">
        <v>17</v>
      </c>
      <c r="G32">
        <v>1400</v>
      </c>
      <c r="H32">
        <v>1400</v>
      </c>
      <c r="I32" t="s">
        <v>18</v>
      </c>
      <c r="J32" s="1">
        <v>45357</v>
      </c>
      <c r="K32" s="1">
        <v>45357</v>
      </c>
      <c r="L32" s="1">
        <v>45361</v>
      </c>
      <c r="M32" t="s">
        <v>33</v>
      </c>
      <c r="N32" t="str">
        <f t="shared" si="1"/>
        <v>A Tiempo</v>
      </c>
      <c r="O32">
        <f t="shared" si="0"/>
        <v>4</v>
      </c>
      <c r="P32" t="str">
        <f t="shared" si="2"/>
        <v>NO</v>
      </c>
      <c r="Q32">
        <f t="shared" si="3"/>
        <v>9</v>
      </c>
      <c r="R32">
        <f t="shared" si="4"/>
        <v>7200</v>
      </c>
      <c r="S32">
        <f>_xlfn.XLOOKUP(Tbl_Embarques[[#This Row],[SKU]],Tbl_Packing_List[SKU],Tbl_Packing_List[Cantidad_Recibida_PL],"No Encontrado")</f>
        <v>1000</v>
      </c>
      <c r="T32">
        <f>Tbl_Embarques[[#This Row],[Cantidad_Recibida]]-Tbl_Embarques[[#This Row],[Recibido_Segun_PL]]</f>
        <v>400</v>
      </c>
      <c r="U32" t="str">
        <f>IF(Tbl_Embarques[[#This Row],[Discrepancia]]=0,"OK","Revisar con proveedor")</f>
        <v>Revisar con proveedor</v>
      </c>
      <c r="V32">
        <f>IF(Tbl_Embarques[[#This Row],[Dias_Aduana]]&gt;5,(Tbl_Embarques[[#This Row],[Dias_Aduana]]-5)*100,0)</f>
        <v>0</v>
      </c>
    </row>
    <row r="33" spans="1:22" x14ac:dyDescent="0.25">
      <c r="A33" t="s">
        <v>71</v>
      </c>
      <c r="B33" s="1">
        <v>45342</v>
      </c>
      <c r="C33" t="s">
        <v>21</v>
      </c>
      <c r="D33" t="s">
        <v>22</v>
      </c>
      <c r="E33" t="s">
        <v>37</v>
      </c>
      <c r="F33" t="s">
        <v>24</v>
      </c>
      <c r="G33">
        <v>2300</v>
      </c>
      <c r="H33">
        <v>2300</v>
      </c>
      <c r="I33" t="s">
        <v>25</v>
      </c>
      <c r="J33" s="1">
        <v>45357</v>
      </c>
      <c r="K33" s="1">
        <v>45357</v>
      </c>
      <c r="L33" s="1">
        <v>45361</v>
      </c>
      <c r="M33" t="s">
        <v>39</v>
      </c>
      <c r="N33" t="str">
        <f t="shared" si="1"/>
        <v>A Tiempo</v>
      </c>
      <c r="O33">
        <f t="shared" si="0"/>
        <v>4</v>
      </c>
      <c r="P33" t="str">
        <f t="shared" si="2"/>
        <v>NO</v>
      </c>
      <c r="Q33">
        <f t="shared" si="3"/>
        <v>9</v>
      </c>
      <c r="R33">
        <f t="shared" si="4"/>
        <v>11700</v>
      </c>
      <c r="S33">
        <f>_xlfn.XLOOKUP(Tbl_Embarques[[#This Row],[SKU]],Tbl_Packing_List[SKU],Tbl_Packing_List[Cantidad_Recibida_PL],"No Encontrado")</f>
        <v>2500</v>
      </c>
      <c r="T33">
        <f>Tbl_Embarques[[#This Row],[Cantidad_Recibida]]-Tbl_Embarques[[#This Row],[Recibido_Segun_PL]]</f>
        <v>-200</v>
      </c>
      <c r="U33" t="str">
        <f>IF(Tbl_Embarques[[#This Row],[Discrepancia]]=0,"OK","Revisar con proveedor")</f>
        <v>Revisar con proveedor</v>
      </c>
      <c r="V33">
        <f>IF(Tbl_Embarques[[#This Row],[Dias_Aduana]]&gt;5,(Tbl_Embarques[[#This Row],[Dias_Aduana]]-5)*100,0)</f>
        <v>0</v>
      </c>
    </row>
    <row r="34" spans="1:22" x14ac:dyDescent="0.25">
      <c r="A34" t="s">
        <v>72</v>
      </c>
      <c r="B34" s="1">
        <v>45343</v>
      </c>
      <c r="C34" t="s">
        <v>28</v>
      </c>
      <c r="D34" t="s">
        <v>29</v>
      </c>
      <c r="E34" t="s">
        <v>16</v>
      </c>
      <c r="F34" t="s">
        <v>31</v>
      </c>
      <c r="G34">
        <v>1050</v>
      </c>
      <c r="H34">
        <v>1050</v>
      </c>
      <c r="I34" t="s">
        <v>32</v>
      </c>
      <c r="J34" s="1">
        <v>45363</v>
      </c>
      <c r="K34" s="1">
        <v>45365</v>
      </c>
      <c r="L34" s="1">
        <v>45368</v>
      </c>
      <c r="M34" t="s">
        <v>19</v>
      </c>
      <c r="N34" t="str">
        <f t="shared" si="1"/>
        <v>Retraso</v>
      </c>
      <c r="O34">
        <f t="shared" ref="O34:O51" si="5">L34-K34</f>
        <v>3</v>
      </c>
      <c r="P34" t="str">
        <f t="shared" si="2"/>
        <v>NO</v>
      </c>
      <c r="Q34">
        <f t="shared" si="3"/>
        <v>9</v>
      </c>
      <c r="R34">
        <f t="shared" si="4"/>
        <v>5400</v>
      </c>
      <c r="S34">
        <f>_xlfn.XLOOKUP(Tbl_Embarques[[#This Row],[SKU]],Tbl_Packing_List[SKU],Tbl_Packing_List[Cantidad_Recibida_PL],"No Encontrado")</f>
        <v>500</v>
      </c>
      <c r="T34">
        <f>Tbl_Embarques[[#This Row],[Cantidad_Recibida]]-Tbl_Embarques[[#This Row],[Recibido_Segun_PL]]</f>
        <v>550</v>
      </c>
      <c r="U34" t="str">
        <f>IF(Tbl_Embarques[[#This Row],[Discrepancia]]=0,"OK","Revisar con proveedor")</f>
        <v>Revisar con proveedor</v>
      </c>
      <c r="V34">
        <f>IF(Tbl_Embarques[[#This Row],[Dias_Aduana]]&gt;5,(Tbl_Embarques[[#This Row],[Dias_Aduana]]-5)*100,0)</f>
        <v>0</v>
      </c>
    </row>
    <row r="35" spans="1:22" x14ac:dyDescent="0.25">
      <c r="A35" t="s">
        <v>73</v>
      </c>
      <c r="B35" s="1">
        <v>45344</v>
      </c>
      <c r="C35" t="s">
        <v>35</v>
      </c>
      <c r="D35" t="s">
        <v>36</v>
      </c>
      <c r="E35" t="s">
        <v>23</v>
      </c>
      <c r="F35" t="s">
        <v>38</v>
      </c>
      <c r="G35">
        <v>950</v>
      </c>
      <c r="H35">
        <v>900</v>
      </c>
      <c r="I35" t="s">
        <v>18</v>
      </c>
      <c r="J35" s="1">
        <v>45352</v>
      </c>
      <c r="K35" s="1">
        <v>45352</v>
      </c>
      <c r="L35" s="1">
        <v>45354</v>
      </c>
      <c r="M35" t="s">
        <v>26</v>
      </c>
      <c r="N35" t="str">
        <f t="shared" si="1"/>
        <v>A Tiempo</v>
      </c>
      <c r="O35">
        <f t="shared" si="5"/>
        <v>2</v>
      </c>
      <c r="P35" t="str">
        <f t="shared" si="2"/>
        <v>NO</v>
      </c>
      <c r="Q35">
        <f t="shared" si="3"/>
        <v>9</v>
      </c>
      <c r="R35">
        <f t="shared" si="4"/>
        <v>4850</v>
      </c>
      <c r="S35">
        <f>_xlfn.XLOOKUP(Tbl_Embarques[[#This Row],[SKU]],Tbl_Packing_List[SKU],Tbl_Packing_List[Cantidad_Recibida_PL],"No Encontrado")</f>
        <v>1150</v>
      </c>
      <c r="T35">
        <f>Tbl_Embarques[[#This Row],[Cantidad_Recibida]]-Tbl_Embarques[[#This Row],[Recibido_Segun_PL]]</f>
        <v>-250</v>
      </c>
      <c r="U35" t="str">
        <f>IF(Tbl_Embarques[[#This Row],[Discrepancia]]=0,"OK","Revisar con proveedor")</f>
        <v>Revisar con proveedor</v>
      </c>
      <c r="V35">
        <f>IF(Tbl_Embarques[[#This Row],[Dias_Aduana]]&gt;5,(Tbl_Embarques[[#This Row],[Dias_Aduana]]-5)*100,0)</f>
        <v>0</v>
      </c>
    </row>
    <row r="36" spans="1:22" x14ac:dyDescent="0.25">
      <c r="A36" t="s">
        <v>74</v>
      </c>
      <c r="B36" s="1">
        <v>45344</v>
      </c>
      <c r="C36" t="s">
        <v>41</v>
      </c>
      <c r="D36" t="s">
        <v>42</v>
      </c>
      <c r="E36" t="s">
        <v>30</v>
      </c>
      <c r="F36" t="s">
        <v>43</v>
      </c>
      <c r="G36">
        <v>2600</v>
      </c>
      <c r="H36">
        <v>2600</v>
      </c>
      <c r="I36" t="s">
        <v>44</v>
      </c>
      <c r="J36" s="1">
        <v>45365</v>
      </c>
      <c r="K36" s="1">
        <v>45368</v>
      </c>
      <c r="L36" s="1">
        <v>45375</v>
      </c>
      <c r="M36" t="s">
        <v>33</v>
      </c>
      <c r="N36" t="str">
        <f t="shared" si="1"/>
        <v>Retraso</v>
      </c>
      <c r="O36">
        <f t="shared" si="5"/>
        <v>7</v>
      </c>
      <c r="P36" t="str">
        <f t="shared" si="2"/>
        <v>SI</v>
      </c>
      <c r="Q36">
        <f t="shared" si="3"/>
        <v>9</v>
      </c>
      <c r="R36">
        <f t="shared" si="4"/>
        <v>13350</v>
      </c>
      <c r="S36">
        <f>_xlfn.XLOOKUP(Tbl_Embarques[[#This Row],[SKU]],Tbl_Packing_List[SKU],Tbl_Packing_List[Cantidad_Recibida_PL],"No Encontrado")</f>
        <v>3000</v>
      </c>
      <c r="T36">
        <f>Tbl_Embarques[[#This Row],[Cantidad_Recibida]]-Tbl_Embarques[[#This Row],[Recibido_Segun_PL]]</f>
        <v>-400</v>
      </c>
      <c r="U36" t="str">
        <f>IF(Tbl_Embarques[[#This Row],[Discrepancia]]=0,"OK","Revisar con proveedor")</f>
        <v>Revisar con proveedor</v>
      </c>
      <c r="V36">
        <f>IF(Tbl_Embarques[[#This Row],[Dias_Aduana]]&gt;5,(Tbl_Embarques[[#This Row],[Dias_Aduana]]-5)*100,0)</f>
        <v>200</v>
      </c>
    </row>
    <row r="37" spans="1:22" x14ac:dyDescent="0.25">
      <c r="A37" t="s">
        <v>75</v>
      </c>
      <c r="B37" s="1">
        <v>45345</v>
      </c>
      <c r="C37" t="s">
        <v>14</v>
      </c>
      <c r="D37" t="s">
        <v>15</v>
      </c>
      <c r="E37" t="s">
        <v>37</v>
      </c>
      <c r="F37" t="s">
        <v>17</v>
      </c>
      <c r="G37">
        <v>1100</v>
      </c>
      <c r="H37">
        <v>1100</v>
      </c>
      <c r="I37" t="s">
        <v>18</v>
      </c>
      <c r="J37" s="1">
        <v>45360</v>
      </c>
      <c r="K37" s="1">
        <v>45360</v>
      </c>
      <c r="L37" s="1">
        <v>45364</v>
      </c>
      <c r="M37" t="s">
        <v>39</v>
      </c>
      <c r="N37" t="str">
        <f t="shared" si="1"/>
        <v>A Tiempo</v>
      </c>
      <c r="O37">
        <f t="shared" si="5"/>
        <v>4</v>
      </c>
      <c r="P37" t="str">
        <f t="shared" si="2"/>
        <v>NO</v>
      </c>
      <c r="Q37">
        <f t="shared" si="3"/>
        <v>9</v>
      </c>
      <c r="R37">
        <f t="shared" si="4"/>
        <v>5700</v>
      </c>
      <c r="S37">
        <f>_xlfn.XLOOKUP(Tbl_Embarques[[#This Row],[SKU]],Tbl_Packing_List[SKU],Tbl_Packing_List[Cantidad_Recibida_PL],"No Encontrado")</f>
        <v>1000</v>
      </c>
      <c r="T37">
        <f>Tbl_Embarques[[#This Row],[Cantidad_Recibida]]-Tbl_Embarques[[#This Row],[Recibido_Segun_PL]]</f>
        <v>100</v>
      </c>
      <c r="U37" t="str">
        <f>IF(Tbl_Embarques[[#This Row],[Discrepancia]]=0,"OK","Revisar con proveedor")</f>
        <v>Revisar con proveedor</v>
      </c>
      <c r="V37">
        <f>IF(Tbl_Embarques[[#This Row],[Dias_Aduana]]&gt;5,(Tbl_Embarques[[#This Row],[Dias_Aduana]]-5)*100,0)</f>
        <v>0</v>
      </c>
    </row>
    <row r="38" spans="1:22" x14ac:dyDescent="0.25">
      <c r="A38" t="s">
        <v>76</v>
      </c>
      <c r="B38" s="1">
        <v>45345</v>
      </c>
      <c r="C38" t="s">
        <v>21</v>
      </c>
      <c r="D38" t="s">
        <v>22</v>
      </c>
      <c r="E38" t="s">
        <v>16</v>
      </c>
      <c r="F38" t="s">
        <v>24</v>
      </c>
      <c r="G38">
        <v>2000</v>
      </c>
      <c r="H38">
        <v>1950</v>
      </c>
      <c r="I38" t="s">
        <v>25</v>
      </c>
      <c r="J38" s="1">
        <v>45360</v>
      </c>
      <c r="K38" s="1">
        <v>45361</v>
      </c>
      <c r="L38" s="1">
        <v>45365</v>
      </c>
      <c r="M38" t="s">
        <v>19</v>
      </c>
      <c r="N38" t="str">
        <f t="shared" si="1"/>
        <v>Retraso</v>
      </c>
      <c r="O38">
        <f t="shared" si="5"/>
        <v>4</v>
      </c>
      <c r="P38" t="str">
        <f t="shared" si="2"/>
        <v>SI</v>
      </c>
      <c r="Q38">
        <f t="shared" si="3"/>
        <v>9</v>
      </c>
      <c r="R38">
        <f t="shared" si="4"/>
        <v>10200</v>
      </c>
      <c r="S38">
        <f>_xlfn.XLOOKUP(Tbl_Embarques[[#This Row],[SKU]],Tbl_Packing_List[SKU],Tbl_Packing_List[Cantidad_Recibida_PL],"No Encontrado")</f>
        <v>2500</v>
      </c>
      <c r="T38">
        <f>Tbl_Embarques[[#This Row],[Cantidad_Recibida]]-Tbl_Embarques[[#This Row],[Recibido_Segun_PL]]</f>
        <v>-550</v>
      </c>
      <c r="U38" t="str">
        <f>IF(Tbl_Embarques[[#This Row],[Discrepancia]]=0,"OK","Revisar con proveedor")</f>
        <v>Revisar con proveedor</v>
      </c>
      <c r="V38">
        <f>IF(Tbl_Embarques[[#This Row],[Dias_Aduana]]&gt;5,(Tbl_Embarques[[#This Row],[Dias_Aduana]]-5)*100,0)</f>
        <v>0</v>
      </c>
    </row>
    <row r="39" spans="1:22" x14ac:dyDescent="0.25">
      <c r="A39" t="s">
        <v>77</v>
      </c>
      <c r="B39" s="1">
        <v>45346</v>
      </c>
      <c r="C39" t="s">
        <v>28</v>
      </c>
      <c r="D39" t="s">
        <v>29</v>
      </c>
      <c r="E39" t="s">
        <v>23</v>
      </c>
      <c r="F39" t="s">
        <v>31</v>
      </c>
      <c r="G39">
        <v>650</v>
      </c>
      <c r="H39">
        <v>650</v>
      </c>
      <c r="I39" t="s">
        <v>32</v>
      </c>
      <c r="J39" s="1">
        <v>45366</v>
      </c>
      <c r="K39" s="1">
        <v>45367</v>
      </c>
      <c r="L39" s="1">
        <v>45370</v>
      </c>
      <c r="M39" t="s">
        <v>26</v>
      </c>
      <c r="N39" t="str">
        <f t="shared" si="1"/>
        <v>Retraso</v>
      </c>
      <c r="O39">
        <f t="shared" si="5"/>
        <v>3</v>
      </c>
      <c r="P39" t="str">
        <f t="shared" si="2"/>
        <v>NO</v>
      </c>
      <c r="Q39">
        <f t="shared" si="3"/>
        <v>9</v>
      </c>
      <c r="R39">
        <f t="shared" si="4"/>
        <v>3400</v>
      </c>
      <c r="S39">
        <f>_xlfn.XLOOKUP(Tbl_Embarques[[#This Row],[SKU]],Tbl_Packing_List[SKU],Tbl_Packing_List[Cantidad_Recibida_PL],"No Encontrado")</f>
        <v>500</v>
      </c>
      <c r="T39">
        <f>Tbl_Embarques[[#This Row],[Cantidad_Recibida]]-Tbl_Embarques[[#This Row],[Recibido_Segun_PL]]</f>
        <v>150</v>
      </c>
      <c r="U39" t="str">
        <f>IF(Tbl_Embarques[[#This Row],[Discrepancia]]=0,"OK","Revisar con proveedor")</f>
        <v>Revisar con proveedor</v>
      </c>
      <c r="V39">
        <f>IF(Tbl_Embarques[[#This Row],[Dias_Aduana]]&gt;5,(Tbl_Embarques[[#This Row],[Dias_Aduana]]-5)*100,0)</f>
        <v>0</v>
      </c>
    </row>
    <row r="40" spans="1:22" x14ac:dyDescent="0.25">
      <c r="A40" t="s">
        <v>78</v>
      </c>
      <c r="B40" s="1">
        <v>45347</v>
      </c>
      <c r="C40" t="s">
        <v>35</v>
      </c>
      <c r="D40" t="s">
        <v>36</v>
      </c>
      <c r="E40" t="s">
        <v>30</v>
      </c>
      <c r="F40" t="s">
        <v>38</v>
      </c>
      <c r="G40">
        <v>1750</v>
      </c>
      <c r="H40">
        <v>1700</v>
      </c>
      <c r="I40" t="s">
        <v>18</v>
      </c>
      <c r="J40" s="1">
        <v>45355</v>
      </c>
      <c r="K40" s="1">
        <v>45355</v>
      </c>
      <c r="L40" s="1">
        <v>45357</v>
      </c>
      <c r="M40" t="s">
        <v>33</v>
      </c>
      <c r="N40" t="str">
        <f t="shared" si="1"/>
        <v>A Tiempo</v>
      </c>
      <c r="O40">
        <f t="shared" si="5"/>
        <v>2</v>
      </c>
      <c r="P40" t="str">
        <f t="shared" si="2"/>
        <v>NO</v>
      </c>
      <c r="Q40">
        <f t="shared" si="3"/>
        <v>9</v>
      </c>
      <c r="R40">
        <f t="shared" si="4"/>
        <v>8850</v>
      </c>
      <c r="S40">
        <f>_xlfn.XLOOKUP(Tbl_Embarques[[#This Row],[SKU]],Tbl_Packing_List[SKU],Tbl_Packing_List[Cantidad_Recibida_PL],"No Encontrado")</f>
        <v>1150</v>
      </c>
      <c r="T40">
        <f>Tbl_Embarques[[#This Row],[Cantidad_Recibida]]-Tbl_Embarques[[#This Row],[Recibido_Segun_PL]]</f>
        <v>550</v>
      </c>
      <c r="U40" t="str">
        <f>IF(Tbl_Embarques[[#This Row],[Discrepancia]]=0,"OK","Revisar con proveedor")</f>
        <v>Revisar con proveedor</v>
      </c>
      <c r="V40">
        <f>IF(Tbl_Embarques[[#This Row],[Dias_Aduana]]&gt;5,(Tbl_Embarques[[#This Row],[Dias_Aduana]]-5)*100,0)</f>
        <v>0</v>
      </c>
    </row>
    <row r="41" spans="1:22" x14ac:dyDescent="0.25">
      <c r="A41" t="s">
        <v>79</v>
      </c>
      <c r="B41" s="1">
        <v>45347</v>
      </c>
      <c r="C41" t="s">
        <v>41</v>
      </c>
      <c r="D41" t="s">
        <v>42</v>
      </c>
      <c r="E41" t="s">
        <v>37</v>
      </c>
      <c r="F41" t="s">
        <v>43</v>
      </c>
      <c r="G41">
        <v>2900</v>
      </c>
      <c r="H41">
        <v>2900</v>
      </c>
      <c r="I41" t="s">
        <v>44</v>
      </c>
      <c r="J41" s="1">
        <v>45368</v>
      </c>
      <c r="K41" s="1">
        <v>45370</v>
      </c>
      <c r="L41" s="1">
        <v>45377</v>
      </c>
      <c r="M41" t="s">
        <v>39</v>
      </c>
      <c r="N41" t="str">
        <f t="shared" si="1"/>
        <v>Retraso</v>
      </c>
      <c r="O41">
        <f t="shared" si="5"/>
        <v>7</v>
      </c>
      <c r="P41" t="str">
        <f t="shared" si="2"/>
        <v>SI</v>
      </c>
      <c r="Q41">
        <f t="shared" si="3"/>
        <v>9</v>
      </c>
      <c r="R41">
        <f t="shared" si="4"/>
        <v>14850</v>
      </c>
      <c r="S41">
        <f>_xlfn.XLOOKUP(Tbl_Embarques[[#This Row],[SKU]],Tbl_Packing_List[SKU],Tbl_Packing_List[Cantidad_Recibida_PL],"No Encontrado")</f>
        <v>3000</v>
      </c>
      <c r="T41">
        <f>Tbl_Embarques[[#This Row],[Cantidad_Recibida]]-Tbl_Embarques[[#This Row],[Recibido_Segun_PL]]</f>
        <v>-100</v>
      </c>
      <c r="U41" t="str">
        <f>IF(Tbl_Embarques[[#This Row],[Discrepancia]]=0,"OK","Revisar con proveedor")</f>
        <v>Revisar con proveedor</v>
      </c>
      <c r="V41">
        <f>IF(Tbl_Embarques[[#This Row],[Dias_Aduana]]&gt;5,(Tbl_Embarques[[#This Row],[Dias_Aduana]]-5)*100,0)</f>
        <v>200</v>
      </c>
    </row>
    <row r="42" spans="1:22" x14ac:dyDescent="0.25">
      <c r="A42" t="s">
        <v>80</v>
      </c>
      <c r="B42" s="1">
        <v>45348</v>
      </c>
      <c r="C42" t="s">
        <v>14</v>
      </c>
      <c r="D42" t="s">
        <v>15</v>
      </c>
      <c r="E42" t="s">
        <v>16</v>
      </c>
      <c r="F42" t="s">
        <v>17</v>
      </c>
      <c r="G42">
        <v>850</v>
      </c>
      <c r="H42">
        <v>850</v>
      </c>
      <c r="I42" t="s">
        <v>18</v>
      </c>
      <c r="J42" s="1">
        <v>45363</v>
      </c>
      <c r="K42" s="1">
        <v>45364</v>
      </c>
      <c r="L42" s="1">
        <v>45368</v>
      </c>
      <c r="M42" t="s">
        <v>19</v>
      </c>
      <c r="N42" t="str">
        <f t="shared" si="1"/>
        <v>Retraso</v>
      </c>
      <c r="O42">
        <f t="shared" si="5"/>
        <v>4</v>
      </c>
      <c r="P42" t="str">
        <f t="shared" si="2"/>
        <v>SI</v>
      </c>
      <c r="Q42">
        <f t="shared" si="3"/>
        <v>9</v>
      </c>
      <c r="R42">
        <f t="shared" si="4"/>
        <v>4450</v>
      </c>
      <c r="S42">
        <f>_xlfn.XLOOKUP(Tbl_Embarques[[#This Row],[SKU]],Tbl_Packing_List[SKU],Tbl_Packing_List[Cantidad_Recibida_PL],"No Encontrado")</f>
        <v>1000</v>
      </c>
      <c r="T42">
        <f>Tbl_Embarques[[#This Row],[Cantidad_Recibida]]-Tbl_Embarques[[#This Row],[Recibido_Segun_PL]]</f>
        <v>-150</v>
      </c>
      <c r="U42" t="str">
        <f>IF(Tbl_Embarques[[#This Row],[Discrepancia]]=0,"OK","Revisar con proveedor")</f>
        <v>Revisar con proveedor</v>
      </c>
      <c r="V42">
        <f>IF(Tbl_Embarques[[#This Row],[Dias_Aduana]]&gt;5,(Tbl_Embarques[[#This Row],[Dias_Aduana]]-5)*100,0)</f>
        <v>0</v>
      </c>
    </row>
    <row r="43" spans="1:22" x14ac:dyDescent="0.25">
      <c r="A43" t="s">
        <v>81</v>
      </c>
      <c r="B43" s="1">
        <v>45348</v>
      </c>
      <c r="C43" t="s">
        <v>21</v>
      </c>
      <c r="D43" t="s">
        <v>22</v>
      </c>
      <c r="E43" t="s">
        <v>23</v>
      </c>
      <c r="F43" t="s">
        <v>24</v>
      </c>
      <c r="G43">
        <v>2400</v>
      </c>
      <c r="H43">
        <v>2350</v>
      </c>
      <c r="I43" t="s">
        <v>25</v>
      </c>
      <c r="J43" s="1">
        <v>45363</v>
      </c>
      <c r="K43" s="1">
        <v>45363</v>
      </c>
      <c r="L43" s="1">
        <v>45367</v>
      </c>
      <c r="M43" t="s">
        <v>26</v>
      </c>
      <c r="N43" t="str">
        <f t="shared" si="1"/>
        <v>A Tiempo</v>
      </c>
      <c r="O43">
        <f t="shared" si="5"/>
        <v>4</v>
      </c>
      <c r="P43" t="str">
        <f t="shared" si="2"/>
        <v>NO</v>
      </c>
      <c r="Q43">
        <f t="shared" si="3"/>
        <v>9</v>
      </c>
      <c r="R43">
        <f t="shared" si="4"/>
        <v>12200</v>
      </c>
      <c r="S43">
        <f>_xlfn.XLOOKUP(Tbl_Embarques[[#This Row],[SKU]],Tbl_Packing_List[SKU],Tbl_Packing_List[Cantidad_Recibida_PL],"No Encontrado")</f>
        <v>2500</v>
      </c>
      <c r="T43">
        <f>Tbl_Embarques[[#This Row],[Cantidad_Recibida]]-Tbl_Embarques[[#This Row],[Recibido_Segun_PL]]</f>
        <v>-150</v>
      </c>
      <c r="U43" t="str">
        <f>IF(Tbl_Embarques[[#This Row],[Discrepancia]]=0,"OK","Revisar con proveedor")</f>
        <v>Revisar con proveedor</v>
      </c>
      <c r="V43">
        <f>IF(Tbl_Embarques[[#This Row],[Dias_Aduana]]&gt;5,(Tbl_Embarques[[#This Row],[Dias_Aduana]]-5)*100,0)</f>
        <v>0</v>
      </c>
    </row>
    <row r="44" spans="1:22" x14ac:dyDescent="0.25">
      <c r="A44" t="s">
        <v>82</v>
      </c>
      <c r="B44" s="1">
        <v>45349</v>
      </c>
      <c r="C44" t="s">
        <v>28</v>
      </c>
      <c r="D44" t="s">
        <v>29</v>
      </c>
      <c r="E44" t="s">
        <v>30</v>
      </c>
      <c r="F44" t="s">
        <v>31</v>
      </c>
      <c r="G44">
        <v>1150</v>
      </c>
      <c r="H44">
        <v>1150</v>
      </c>
      <c r="I44" t="s">
        <v>32</v>
      </c>
      <c r="J44" s="1">
        <v>45369</v>
      </c>
      <c r="K44" s="1">
        <v>45369</v>
      </c>
      <c r="L44" s="1">
        <v>45372</v>
      </c>
      <c r="M44" t="s">
        <v>33</v>
      </c>
      <c r="N44" t="str">
        <f t="shared" si="1"/>
        <v>A Tiempo</v>
      </c>
      <c r="O44">
        <f t="shared" si="5"/>
        <v>3</v>
      </c>
      <c r="P44" t="str">
        <f t="shared" si="2"/>
        <v>NO</v>
      </c>
      <c r="Q44">
        <f t="shared" si="3"/>
        <v>9</v>
      </c>
      <c r="R44">
        <f t="shared" si="4"/>
        <v>5900</v>
      </c>
      <c r="S44">
        <f>_xlfn.XLOOKUP(Tbl_Embarques[[#This Row],[SKU]],Tbl_Packing_List[SKU],Tbl_Packing_List[Cantidad_Recibida_PL],"No Encontrado")</f>
        <v>500</v>
      </c>
      <c r="T44">
        <f>Tbl_Embarques[[#This Row],[Cantidad_Recibida]]-Tbl_Embarques[[#This Row],[Recibido_Segun_PL]]</f>
        <v>650</v>
      </c>
      <c r="U44" t="str">
        <f>IF(Tbl_Embarques[[#This Row],[Discrepancia]]=0,"OK","Revisar con proveedor")</f>
        <v>Revisar con proveedor</v>
      </c>
      <c r="V44">
        <f>IF(Tbl_Embarques[[#This Row],[Dias_Aduana]]&gt;5,(Tbl_Embarques[[#This Row],[Dias_Aduana]]-5)*100,0)</f>
        <v>0</v>
      </c>
    </row>
    <row r="45" spans="1:22" x14ac:dyDescent="0.25">
      <c r="A45" t="s">
        <v>83</v>
      </c>
      <c r="B45" s="1">
        <v>45350</v>
      </c>
      <c r="C45" t="s">
        <v>35</v>
      </c>
      <c r="D45" t="s">
        <v>36</v>
      </c>
      <c r="E45" t="s">
        <v>37</v>
      </c>
      <c r="F45" t="s">
        <v>38</v>
      </c>
      <c r="G45">
        <v>1350</v>
      </c>
      <c r="H45">
        <v>1300</v>
      </c>
      <c r="I45" t="s">
        <v>18</v>
      </c>
      <c r="J45" s="1">
        <v>45358</v>
      </c>
      <c r="K45" s="1">
        <v>45358</v>
      </c>
      <c r="L45" s="1">
        <v>45360</v>
      </c>
      <c r="M45" t="s">
        <v>39</v>
      </c>
      <c r="N45" t="str">
        <f t="shared" si="1"/>
        <v>A Tiempo</v>
      </c>
      <c r="O45">
        <f t="shared" si="5"/>
        <v>2</v>
      </c>
      <c r="P45" t="str">
        <f t="shared" si="2"/>
        <v>NO</v>
      </c>
      <c r="Q45">
        <f t="shared" si="3"/>
        <v>9</v>
      </c>
      <c r="R45">
        <f t="shared" si="4"/>
        <v>6850</v>
      </c>
      <c r="S45">
        <f>_xlfn.XLOOKUP(Tbl_Embarques[[#This Row],[SKU]],Tbl_Packing_List[SKU],Tbl_Packing_List[Cantidad_Recibida_PL],"No Encontrado")</f>
        <v>1150</v>
      </c>
      <c r="T45">
        <f>Tbl_Embarques[[#This Row],[Cantidad_Recibida]]-Tbl_Embarques[[#This Row],[Recibido_Segun_PL]]</f>
        <v>150</v>
      </c>
      <c r="U45" t="str">
        <f>IF(Tbl_Embarques[[#This Row],[Discrepancia]]=0,"OK","Revisar con proveedor")</f>
        <v>Revisar con proveedor</v>
      </c>
      <c r="V45">
        <f>IF(Tbl_Embarques[[#This Row],[Dias_Aduana]]&gt;5,(Tbl_Embarques[[#This Row],[Dias_Aduana]]-5)*100,0)</f>
        <v>0</v>
      </c>
    </row>
    <row r="46" spans="1:22" x14ac:dyDescent="0.25">
      <c r="A46" t="s">
        <v>84</v>
      </c>
      <c r="B46" s="1">
        <v>45350</v>
      </c>
      <c r="C46" t="s">
        <v>41</v>
      </c>
      <c r="D46" t="s">
        <v>42</v>
      </c>
      <c r="E46" t="s">
        <v>16</v>
      </c>
      <c r="F46" t="s">
        <v>43</v>
      </c>
      <c r="G46">
        <v>3100</v>
      </c>
      <c r="H46">
        <v>3000</v>
      </c>
      <c r="I46" t="s">
        <v>44</v>
      </c>
      <c r="J46" s="1">
        <v>45371</v>
      </c>
      <c r="K46" s="1">
        <v>45373</v>
      </c>
      <c r="L46" s="1">
        <v>45380</v>
      </c>
      <c r="M46" t="s">
        <v>19</v>
      </c>
      <c r="N46" t="str">
        <f t="shared" si="1"/>
        <v>Retraso</v>
      </c>
      <c r="O46">
        <f t="shared" si="5"/>
        <v>7</v>
      </c>
      <c r="P46" t="str">
        <f t="shared" si="2"/>
        <v>SI</v>
      </c>
      <c r="Q46">
        <f t="shared" si="3"/>
        <v>9</v>
      </c>
      <c r="R46">
        <f t="shared" si="4"/>
        <v>15850</v>
      </c>
      <c r="S46">
        <f>_xlfn.XLOOKUP(Tbl_Embarques[[#This Row],[SKU]],Tbl_Packing_List[SKU],Tbl_Packing_List[Cantidad_Recibida_PL],"No Encontrado")</f>
        <v>3000</v>
      </c>
      <c r="T46">
        <f>Tbl_Embarques[[#This Row],[Cantidad_Recibida]]-Tbl_Embarques[[#This Row],[Recibido_Segun_PL]]</f>
        <v>0</v>
      </c>
      <c r="U46" t="str">
        <f>IF(Tbl_Embarques[[#This Row],[Discrepancia]]=0,"OK","Revisar con proveedor")</f>
        <v>OK</v>
      </c>
      <c r="V46">
        <f>IF(Tbl_Embarques[[#This Row],[Dias_Aduana]]&gt;5,(Tbl_Embarques[[#This Row],[Dias_Aduana]]-5)*100,0)</f>
        <v>200</v>
      </c>
    </row>
    <row r="47" spans="1:22" x14ac:dyDescent="0.25">
      <c r="A47" t="s">
        <v>85</v>
      </c>
      <c r="B47" s="1">
        <v>45351</v>
      </c>
      <c r="C47" t="s">
        <v>14</v>
      </c>
      <c r="D47" t="s">
        <v>15</v>
      </c>
      <c r="E47" t="s">
        <v>23</v>
      </c>
      <c r="F47" t="s">
        <v>17</v>
      </c>
      <c r="G47">
        <v>1250</v>
      </c>
      <c r="H47">
        <v>1250</v>
      </c>
      <c r="I47" t="s">
        <v>18</v>
      </c>
      <c r="J47" s="1">
        <v>45366</v>
      </c>
      <c r="K47" s="1">
        <v>45366</v>
      </c>
      <c r="L47" s="1">
        <v>45370</v>
      </c>
      <c r="M47" t="s">
        <v>26</v>
      </c>
      <c r="N47" t="str">
        <f t="shared" si="1"/>
        <v>A Tiempo</v>
      </c>
      <c r="O47">
        <f t="shared" si="5"/>
        <v>4</v>
      </c>
      <c r="P47" t="str">
        <f t="shared" si="2"/>
        <v>NO</v>
      </c>
      <c r="Q47">
        <f t="shared" si="3"/>
        <v>9</v>
      </c>
      <c r="R47">
        <f t="shared" si="4"/>
        <v>6450</v>
      </c>
      <c r="S47">
        <f>_xlfn.XLOOKUP(Tbl_Embarques[[#This Row],[SKU]],Tbl_Packing_List[SKU],Tbl_Packing_List[Cantidad_Recibida_PL],"No Encontrado")</f>
        <v>1000</v>
      </c>
      <c r="T47">
        <f>Tbl_Embarques[[#This Row],[Cantidad_Recibida]]-Tbl_Embarques[[#This Row],[Recibido_Segun_PL]]</f>
        <v>250</v>
      </c>
      <c r="U47" t="str">
        <f>IF(Tbl_Embarques[[#This Row],[Discrepancia]]=0,"OK","Revisar con proveedor")</f>
        <v>Revisar con proveedor</v>
      </c>
      <c r="V47">
        <f>IF(Tbl_Embarques[[#This Row],[Dias_Aduana]]&gt;5,(Tbl_Embarques[[#This Row],[Dias_Aduana]]-5)*100,0)</f>
        <v>0</v>
      </c>
    </row>
    <row r="48" spans="1:22" x14ac:dyDescent="0.25">
      <c r="A48" t="s">
        <v>86</v>
      </c>
      <c r="B48" s="1">
        <v>45351</v>
      </c>
      <c r="C48" t="s">
        <v>21</v>
      </c>
      <c r="D48" t="s">
        <v>22</v>
      </c>
      <c r="E48" t="s">
        <v>30</v>
      </c>
      <c r="F48" t="s">
        <v>24</v>
      </c>
      <c r="G48">
        <v>1650</v>
      </c>
      <c r="H48">
        <v>1600</v>
      </c>
      <c r="I48" t="s">
        <v>25</v>
      </c>
      <c r="J48" s="1">
        <v>45366</v>
      </c>
      <c r="K48" s="1">
        <v>45366</v>
      </c>
      <c r="L48" s="1">
        <v>45370</v>
      </c>
      <c r="M48" t="s">
        <v>33</v>
      </c>
      <c r="N48" t="str">
        <f t="shared" si="1"/>
        <v>A Tiempo</v>
      </c>
      <c r="O48">
        <f t="shared" si="5"/>
        <v>4</v>
      </c>
      <c r="P48" t="str">
        <f t="shared" si="2"/>
        <v>NO</v>
      </c>
      <c r="Q48">
        <f t="shared" si="3"/>
        <v>9</v>
      </c>
      <c r="R48">
        <f t="shared" si="4"/>
        <v>8450</v>
      </c>
      <c r="S48">
        <f>_xlfn.XLOOKUP(Tbl_Embarques[[#This Row],[SKU]],Tbl_Packing_List[SKU],Tbl_Packing_List[Cantidad_Recibida_PL],"No Encontrado")</f>
        <v>2500</v>
      </c>
      <c r="T48">
        <f>Tbl_Embarques[[#This Row],[Cantidad_Recibida]]-Tbl_Embarques[[#This Row],[Recibido_Segun_PL]]</f>
        <v>-900</v>
      </c>
      <c r="U48" t="str">
        <f>IF(Tbl_Embarques[[#This Row],[Discrepancia]]=0,"OK","Revisar con proveedor")</f>
        <v>Revisar con proveedor</v>
      </c>
      <c r="V48">
        <f>IF(Tbl_Embarques[[#This Row],[Dias_Aduana]]&gt;5,(Tbl_Embarques[[#This Row],[Dias_Aduana]]-5)*100,0)</f>
        <v>0</v>
      </c>
    </row>
    <row r="49" spans="1:22" x14ac:dyDescent="0.25">
      <c r="A49" t="s">
        <v>87</v>
      </c>
      <c r="B49" s="1">
        <v>45352</v>
      </c>
      <c r="C49" t="s">
        <v>28</v>
      </c>
      <c r="D49" t="s">
        <v>29</v>
      </c>
      <c r="E49" t="s">
        <v>37</v>
      </c>
      <c r="F49" t="s">
        <v>31</v>
      </c>
      <c r="G49">
        <v>950</v>
      </c>
      <c r="H49">
        <v>950</v>
      </c>
      <c r="I49" t="s">
        <v>32</v>
      </c>
      <c r="J49" s="1">
        <v>45372</v>
      </c>
      <c r="K49" s="1">
        <v>45372</v>
      </c>
      <c r="L49" s="1">
        <v>45375</v>
      </c>
      <c r="M49" t="s">
        <v>39</v>
      </c>
      <c r="N49" t="str">
        <f t="shared" si="1"/>
        <v>A Tiempo</v>
      </c>
      <c r="O49">
        <f t="shared" si="5"/>
        <v>3</v>
      </c>
      <c r="P49" t="str">
        <f t="shared" si="2"/>
        <v>NO</v>
      </c>
      <c r="Q49">
        <f t="shared" si="3"/>
        <v>9</v>
      </c>
      <c r="R49">
        <f t="shared" si="4"/>
        <v>4900</v>
      </c>
      <c r="S49">
        <f>_xlfn.XLOOKUP(Tbl_Embarques[[#This Row],[SKU]],Tbl_Packing_List[SKU],Tbl_Packing_List[Cantidad_Recibida_PL],"No Encontrado")</f>
        <v>500</v>
      </c>
      <c r="T49">
        <f>Tbl_Embarques[[#This Row],[Cantidad_Recibida]]-Tbl_Embarques[[#This Row],[Recibido_Segun_PL]]</f>
        <v>450</v>
      </c>
      <c r="U49" t="str">
        <f>IF(Tbl_Embarques[[#This Row],[Discrepancia]]=0,"OK","Revisar con proveedor")</f>
        <v>Revisar con proveedor</v>
      </c>
      <c r="V49">
        <f>IF(Tbl_Embarques[[#This Row],[Dias_Aduana]]&gt;5,(Tbl_Embarques[[#This Row],[Dias_Aduana]]-5)*100,0)</f>
        <v>0</v>
      </c>
    </row>
    <row r="50" spans="1:22" x14ac:dyDescent="0.25">
      <c r="A50" t="s">
        <v>88</v>
      </c>
      <c r="B50" s="1">
        <v>45353</v>
      </c>
      <c r="C50" t="s">
        <v>35</v>
      </c>
      <c r="D50" t="s">
        <v>36</v>
      </c>
      <c r="E50" t="s">
        <v>16</v>
      </c>
      <c r="F50" t="s">
        <v>38</v>
      </c>
      <c r="G50">
        <v>550</v>
      </c>
      <c r="H50">
        <v>550</v>
      </c>
      <c r="I50" t="s">
        <v>18</v>
      </c>
      <c r="J50" s="1">
        <v>45360</v>
      </c>
      <c r="K50" s="1">
        <v>45360</v>
      </c>
      <c r="L50" s="1">
        <v>45362</v>
      </c>
      <c r="M50" t="s">
        <v>19</v>
      </c>
      <c r="N50" t="str">
        <f t="shared" si="1"/>
        <v>A Tiempo</v>
      </c>
      <c r="O50">
        <f t="shared" si="5"/>
        <v>2</v>
      </c>
      <c r="P50" t="str">
        <f t="shared" si="2"/>
        <v>NO</v>
      </c>
      <c r="Q50">
        <f t="shared" si="3"/>
        <v>9</v>
      </c>
      <c r="R50">
        <f t="shared" si="4"/>
        <v>2850</v>
      </c>
      <c r="S50">
        <f>_xlfn.XLOOKUP(Tbl_Embarques[[#This Row],[SKU]],Tbl_Packing_List[SKU],Tbl_Packing_List[Cantidad_Recibida_PL],"No Encontrado")</f>
        <v>1150</v>
      </c>
      <c r="T50">
        <f>Tbl_Embarques[[#This Row],[Cantidad_Recibida]]-Tbl_Embarques[[#This Row],[Recibido_Segun_PL]]</f>
        <v>-600</v>
      </c>
      <c r="U50" t="str">
        <f>IF(Tbl_Embarques[[#This Row],[Discrepancia]]=0,"OK","Revisar con proveedor")</f>
        <v>Revisar con proveedor</v>
      </c>
      <c r="V50">
        <f>IF(Tbl_Embarques[[#This Row],[Dias_Aduana]]&gt;5,(Tbl_Embarques[[#This Row],[Dias_Aduana]]-5)*100,0)</f>
        <v>0</v>
      </c>
    </row>
    <row r="51" spans="1:22" x14ac:dyDescent="0.25">
      <c r="A51" t="s">
        <v>89</v>
      </c>
      <c r="B51" s="1">
        <v>45353</v>
      </c>
      <c r="C51" t="s">
        <v>41</v>
      </c>
      <c r="D51" t="s">
        <v>42</v>
      </c>
      <c r="E51" t="s">
        <v>23</v>
      </c>
      <c r="F51" t="s">
        <v>43</v>
      </c>
      <c r="G51">
        <v>2700</v>
      </c>
      <c r="H51">
        <v>2600</v>
      </c>
      <c r="I51" t="s">
        <v>44</v>
      </c>
      <c r="J51" s="1">
        <v>45373</v>
      </c>
      <c r="K51" s="1">
        <v>45377</v>
      </c>
      <c r="L51" s="1">
        <v>45384</v>
      </c>
      <c r="M51" t="s">
        <v>26</v>
      </c>
      <c r="N51" t="str">
        <f t="shared" si="1"/>
        <v>Retraso</v>
      </c>
      <c r="O51">
        <f t="shared" si="5"/>
        <v>7</v>
      </c>
      <c r="P51" t="str">
        <f t="shared" si="2"/>
        <v>SI</v>
      </c>
      <c r="Q51">
        <f t="shared" si="3"/>
        <v>9</v>
      </c>
      <c r="R51">
        <f t="shared" si="4"/>
        <v>13850</v>
      </c>
      <c r="S51">
        <f>_xlfn.XLOOKUP(Tbl_Embarques[[#This Row],[SKU]],Tbl_Packing_List[SKU],Tbl_Packing_List[Cantidad_Recibida_PL],"No Encontrado")</f>
        <v>3000</v>
      </c>
      <c r="T51">
        <f>Tbl_Embarques[[#This Row],[Cantidad_Recibida]]-Tbl_Embarques[[#This Row],[Recibido_Segun_PL]]</f>
        <v>-400</v>
      </c>
      <c r="U51" t="str">
        <f>IF(Tbl_Embarques[[#This Row],[Discrepancia]]=0,"OK","Revisar con proveedor")</f>
        <v>Revisar con proveedor</v>
      </c>
      <c r="V51">
        <f>IF(Tbl_Embarques[[#This Row],[Dias_Aduana]]&gt;5,(Tbl_Embarques[[#This Row],[Dias_Aduana]]-5)*100,0)</f>
        <v>200</v>
      </c>
    </row>
  </sheetData>
  <conditionalFormatting sqref="A2:P51">
    <cfRule type="expression" dxfId="3" priority="4">
      <formula>$P2="SI"</formula>
    </cfRule>
  </conditionalFormatting>
  <conditionalFormatting sqref="A2:R51">
    <cfRule type="expression" dxfId="2" priority="2">
      <formula>$R2=MAX($R$2:$R$51)</formula>
    </cfRule>
  </conditionalFormatting>
  <conditionalFormatting sqref="R2:R51">
    <cfRule type="top10" dxfId="1" priority="3" rank="1"/>
  </conditionalFormatting>
  <conditionalFormatting sqref="T2:T51">
    <cfRule type="cellIs" dxfId="0" priority="1" operator="notEqual">
      <formula>0</formula>
    </cfRule>
  </conditionalFormatting>
  <dataValidations count="1">
    <dataValidation type="textLength" operator="equal" allowBlank="1" showInputMessage="1" showErrorMessage="1" errorTitle="Folio inválido" error="El folio debe tener exatamente 9 caracteres" sqref="A2:A51" xr:uid="{2ED704DF-92D6-4FED-9C92-F3F6A927A0B5}">
      <formula1>9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7870-9AAB-4163-B9AF-AD79A9323C09}">
  <dimension ref="A1:B16"/>
  <sheetViews>
    <sheetView workbookViewId="0">
      <selection activeCell="B22" sqref="B22"/>
    </sheetView>
  </sheetViews>
  <sheetFormatPr baseColWidth="10" defaultRowHeight="15.75" x14ac:dyDescent="0.25"/>
  <cols>
    <col min="2" max="2" width="20.75" customWidth="1"/>
  </cols>
  <sheetData>
    <row r="1" spans="1:2" x14ac:dyDescent="0.25">
      <c r="A1" t="s">
        <v>5</v>
      </c>
      <c r="B1" t="s">
        <v>95</v>
      </c>
    </row>
    <row r="2" spans="1:2" x14ac:dyDescent="0.25">
      <c r="A2" t="s">
        <v>17</v>
      </c>
      <c r="B2">
        <v>1000</v>
      </c>
    </row>
    <row r="3" spans="1:2" x14ac:dyDescent="0.25">
      <c r="A3" t="s">
        <v>24</v>
      </c>
      <c r="B3">
        <v>2500</v>
      </c>
    </row>
    <row r="4" spans="1:2" x14ac:dyDescent="0.25">
      <c r="A4" t="s">
        <v>31</v>
      </c>
      <c r="B4">
        <v>500</v>
      </c>
    </row>
    <row r="5" spans="1:2" x14ac:dyDescent="0.25">
      <c r="A5" t="s">
        <v>38</v>
      </c>
      <c r="B5">
        <v>1150</v>
      </c>
    </row>
    <row r="6" spans="1:2" x14ac:dyDescent="0.25">
      <c r="A6" t="s">
        <v>43</v>
      </c>
      <c r="B6">
        <v>3000</v>
      </c>
    </row>
    <row r="7" spans="1:2" x14ac:dyDescent="0.25">
      <c r="A7" t="s">
        <v>17</v>
      </c>
      <c r="B7">
        <v>800</v>
      </c>
    </row>
    <row r="8" spans="1:2" x14ac:dyDescent="0.25">
      <c r="A8" t="s">
        <v>24</v>
      </c>
      <c r="B8">
        <v>1400</v>
      </c>
    </row>
    <row r="9" spans="1:2" x14ac:dyDescent="0.25">
      <c r="A9" t="s">
        <v>31</v>
      </c>
      <c r="B9">
        <v>2000</v>
      </c>
    </row>
    <row r="10" spans="1:2" x14ac:dyDescent="0.25">
      <c r="A10" t="s">
        <v>38</v>
      </c>
      <c r="B10">
        <v>900</v>
      </c>
    </row>
    <row r="11" spans="1:2" x14ac:dyDescent="0.25">
      <c r="A11" t="s">
        <v>43</v>
      </c>
      <c r="B11">
        <v>2300</v>
      </c>
    </row>
    <row r="12" spans="1:2" x14ac:dyDescent="0.25">
      <c r="A12" t="s">
        <v>17</v>
      </c>
      <c r="B12">
        <v>1200</v>
      </c>
    </row>
    <row r="13" spans="1:2" x14ac:dyDescent="0.25">
      <c r="A13" t="s">
        <v>24</v>
      </c>
      <c r="B13">
        <v>1800</v>
      </c>
    </row>
    <row r="14" spans="1:2" x14ac:dyDescent="0.25">
      <c r="A14" t="s">
        <v>31</v>
      </c>
      <c r="B14">
        <v>600</v>
      </c>
    </row>
    <row r="15" spans="1:2" x14ac:dyDescent="0.25">
      <c r="A15" t="s">
        <v>38</v>
      </c>
      <c r="B15">
        <v>1950</v>
      </c>
    </row>
    <row r="16" spans="1:2" x14ac:dyDescent="0.25">
      <c r="A16" t="s">
        <v>43</v>
      </c>
      <c r="B16">
        <v>1800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D109-9F93-4D73-B675-74FBCA117B73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A6D9-3815-488F-B316-96A1E4690BCA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297A-DAFF-40F3-837F-A2430D8F1DBB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04A142-2FEC-4B76-AE02-0C3FA3D7D3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</vt:lpstr>
      <vt:lpstr>Datos_Sucios_Importaciones</vt:lpstr>
      <vt:lpstr>Importaciones_Mensuales</vt:lpstr>
      <vt:lpstr>Tbl_Embarques</vt:lpstr>
      <vt:lpstr>BD_Embarques</vt:lpstr>
      <vt:lpstr>Packing_List</vt:lpstr>
      <vt:lpstr>Cat_Agentes</vt:lpstr>
      <vt:lpstr>Cat_Proveedores</vt:lpstr>
      <vt:lpstr>Tarifas_Demurrage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Ángel  Gutiérrez Delgado</dc:creator>
  <cp:lastModifiedBy>Juan Angel Gutiérrez Delgado</cp:lastModifiedBy>
  <dcterms:created xsi:type="dcterms:W3CDTF">2026-02-13T17:28:31Z</dcterms:created>
  <dcterms:modified xsi:type="dcterms:W3CDTF">2026-02-17T01:01:44Z</dcterms:modified>
</cp:coreProperties>
</file>